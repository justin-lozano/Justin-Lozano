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aylozano/Documents/Codex/2026-09-02/bus/outputs/final/"/>
    </mc:Choice>
  </mc:AlternateContent>
  <xr:revisionPtr revIDLastSave="0" documentId="13_ncr:1_{AE39AC62-2468-2E41-9788-8463CD32A270}" xr6:coauthVersionLast="47" xr6:coauthVersionMax="47" xr10:uidLastSave="{00000000-0000-0000-0000-000000000000}"/>
  <bookViews>
    <workbookView xWindow="22320" yWindow="600" windowWidth="22480" windowHeight="23240" activeTab="4" xr2:uid="{00000000-000D-0000-FFFF-FFFF00000000}"/>
  </bookViews>
  <sheets>
    <sheet name="Inputs" sheetId="1" r:id="rId1"/>
    <sheet name="Cost Structure" sheetId="2" r:id="rId2"/>
    <sheet name="Marginal-Cost Schedules" sheetId="3" r:id="rId3"/>
    <sheet name="Optimization" sheetId="4" r:id="rId4"/>
    <sheet name="Checks" sheetId="5" r:id="rId5"/>
  </sheets>
  <definedNames>
    <definedName name="BLENDED_LABOR_RATE">Optimization!$B$23</definedName>
    <definedName name="CAR_BED_CAP">Inputs!$B$17</definedName>
    <definedName name="CAR_BEDS">Optimization!$B$6</definedName>
    <definedName name="CAR_DIM_PCT">Inputs!$B$21</definedName>
    <definedName name="CAR_FERT_COST">Inputs!$B$20</definedName>
    <definedName name="CAR_HRS">Inputs!$B$19</definedName>
    <definedName name="CAR_LABOR_COST">'Cost Structure'!$B$13</definedName>
    <definedName name="CAR_PRICE">Inputs!$B$18</definedName>
    <definedName name="CAR_REVENUE">Optimization!$B$12</definedName>
    <definedName name="FARMER_HOURLY_RATE">Inputs!$B$8</definedName>
    <definedName name="FARMER_HOURS_AVAILABLE">Inputs!$B$7</definedName>
    <definedName name="FARMER_HOURS_USED">Optimization!$B$16</definedName>
    <definedName name="FARMER_LABOR_COST">Optimization!$B$20</definedName>
    <definedName name="FIXED_COST_DISPLAY">Optimization!$B$26</definedName>
    <definedName name="FIXED_COSTS">Inputs!$B$5</definedName>
    <definedName name="MAX_TEMP_HOURS">Optimization!$B$18</definedName>
    <definedName name="MAX_TEMP_WORKERS">Inputs!$B$9</definedName>
    <definedName name="MES_BED_CAP">Inputs!$B$22</definedName>
    <definedName name="MES_BEDS">Optimization!$B$7</definedName>
    <definedName name="MES_DIM_PCT">Inputs!$B$26</definedName>
    <definedName name="MES_FERT_COST">Inputs!$B$25</definedName>
    <definedName name="MES_HRS">Inputs!$B$24</definedName>
    <definedName name="MES_LABOR_COST">'Cost Structure'!$B$14</definedName>
    <definedName name="MES_PRICE">Inputs!$B$23</definedName>
    <definedName name="MES_REVENUE">Optimization!$B$13</definedName>
    <definedName name="SEASON_WEEKS">Inputs!$B$4</definedName>
    <definedName name="solver_adj" localSheetId="3" hidden="1">Optimization!$B$5:$B$7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itr" localSheetId="3" hidden="1">2147483647</definedName>
    <definedName name="solver_lhs1" localSheetId="3" hidden="1">Optimization!$B$5:$B$6</definedName>
    <definedName name="solver_lhs2" localSheetId="3" hidden="1">Optimization!$B$5:$B$7</definedName>
    <definedName name="solver_lhs3" localSheetId="3" hidden="1">Optimization!$B$7</definedName>
    <definedName name="solver_lhs4" localSheetId="3" hidden="1">Optimization!$B$19</definedName>
    <definedName name="solver_lhs5" localSheetId="3" hidden="1">Optimization!$B$10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5</definedName>
    <definedName name="solver_opt" localSheetId="3" hidden="1">Optimization!$B$28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4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hs1" localSheetId="3" hidden="1">20</definedName>
    <definedName name="solver_rhs2" localSheetId="3" hidden="1">"integer"</definedName>
    <definedName name="solver_rhs3" localSheetId="3" hidden="1">30</definedName>
    <definedName name="solver_rhs4" localSheetId="3" hidden="1">4</definedName>
    <definedName name="solver_rhs5" localSheetId="3" hidden="1">64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  <definedName name="TEMP_HOURLY_RATE">Inputs!$B$11</definedName>
    <definedName name="TEMP_HOURS_PER_WORKER">Inputs!$B$10</definedName>
    <definedName name="TEMP_HOURS_USED">Optimization!$B$17</definedName>
    <definedName name="TEMP_LABOR_COST">Optimization!$B$21</definedName>
    <definedName name="TEMP_WORKERS_NEEDED">Optimization!$B$19</definedName>
    <definedName name="TOM_BED_CAP">Inputs!$B$12</definedName>
    <definedName name="TOM_BEDS">Optimization!$B$5</definedName>
    <definedName name="TOM_DIM_PCT">Inputs!$B$16</definedName>
    <definedName name="TOM_FERT_COST">Inputs!$B$15</definedName>
    <definedName name="TOM_HRS">Inputs!$B$14</definedName>
    <definedName name="TOM_LABOR_COST">'Cost Structure'!$B$12</definedName>
    <definedName name="TOM_MC_5">'Marginal-Cost Schedules'!$F$10</definedName>
    <definedName name="TOM_MC_6">'Marginal-Cost Schedules'!$F$11</definedName>
    <definedName name="TOM_PRICE">Inputs!$B$13</definedName>
    <definedName name="TOM_REVENUE">Optimization!$B$11</definedName>
    <definedName name="TOTAL_BEDS_AVAILABLE">Inputs!$B$6</definedName>
    <definedName name="TOTAL_BEDS_USED">Optimization!$B$10</definedName>
    <definedName name="TOTAL_COST">Optimization!$B$27</definedName>
    <definedName name="TOTAL_FERT_COST">Optimization!$B$24</definedName>
    <definedName name="TOTAL_LABOR_COST">Optimization!$B$22</definedName>
    <definedName name="TOTAL_LABOR_HRS">Optimization!$B$15</definedName>
    <definedName name="TOTAL_PROFIT">Optimization!$B$28</definedName>
    <definedName name="TOTAL_REVENUE">Optimization!$B$14</definedName>
    <definedName name="TOTAL_VARIABLE_COST">Optimization!$B$25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E21" i="5" s="1"/>
  <c r="B20" i="5"/>
  <c r="E20" i="5" s="1"/>
  <c r="E18" i="5"/>
  <c r="B18" i="5"/>
  <c r="E17" i="5"/>
  <c r="B17" i="5"/>
  <c r="E16" i="5"/>
  <c r="B16" i="5"/>
  <c r="B12" i="5"/>
  <c r="B11" i="5"/>
  <c r="B10" i="5"/>
  <c r="B7" i="5"/>
  <c r="E7" i="5" s="1"/>
  <c r="B6" i="5"/>
  <c r="E6" i="5" s="1"/>
  <c r="B5" i="5"/>
  <c r="E5" i="5" s="1"/>
  <c r="B4" i="5"/>
  <c r="E4" i="5" s="1"/>
  <c r="B26" i="4"/>
  <c r="B24" i="4"/>
  <c r="B15" i="2" s="1"/>
  <c r="B18" i="4"/>
  <c r="B15" i="4"/>
  <c r="B16" i="4" s="1"/>
  <c r="B13" i="4"/>
  <c r="B12" i="4"/>
  <c r="B11" i="4"/>
  <c r="B10" i="4"/>
  <c r="E15" i="5" s="1"/>
  <c r="W35" i="3"/>
  <c r="R35" i="3"/>
  <c r="S35" i="3" s="1"/>
  <c r="W34" i="3"/>
  <c r="R34" i="3"/>
  <c r="S34" i="3" s="1"/>
  <c r="W33" i="3"/>
  <c r="R33" i="3"/>
  <c r="T33" i="3" s="1"/>
  <c r="W32" i="3"/>
  <c r="R32" i="3"/>
  <c r="T32" i="3" s="1"/>
  <c r="W31" i="3"/>
  <c r="R31" i="3"/>
  <c r="S31" i="3" s="1"/>
  <c r="W30" i="3"/>
  <c r="R30" i="3"/>
  <c r="S30" i="3" s="1"/>
  <c r="W29" i="3"/>
  <c r="R29" i="3"/>
  <c r="T29" i="3" s="1"/>
  <c r="W28" i="3"/>
  <c r="R28" i="3"/>
  <c r="T28" i="3" s="1"/>
  <c r="W27" i="3"/>
  <c r="R27" i="3"/>
  <c r="S27" i="3" s="1"/>
  <c r="W26" i="3"/>
  <c r="R26" i="3"/>
  <c r="S26" i="3" s="1"/>
  <c r="W25" i="3"/>
  <c r="R25" i="3"/>
  <c r="T25" i="3" s="1"/>
  <c r="O25" i="3"/>
  <c r="J25" i="3"/>
  <c r="L25" i="3" s="1"/>
  <c r="G25" i="3"/>
  <c r="B25" i="3"/>
  <c r="C25" i="3" s="1"/>
  <c r="W24" i="3"/>
  <c r="R24" i="3"/>
  <c r="S24" i="3" s="1"/>
  <c r="O24" i="3"/>
  <c r="J24" i="3"/>
  <c r="L24" i="3" s="1"/>
  <c r="G24" i="3"/>
  <c r="B24" i="3"/>
  <c r="D24" i="3" s="1"/>
  <c r="W23" i="3"/>
  <c r="R23" i="3"/>
  <c r="S23" i="3" s="1"/>
  <c r="O23" i="3"/>
  <c r="J23" i="3"/>
  <c r="K23" i="3" s="1"/>
  <c r="G23" i="3"/>
  <c r="B23" i="3"/>
  <c r="D23" i="3" s="1"/>
  <c r="W22" i="3"/>
  <c r="R22" i="3"/>
  <c r="T22" i="3" s="1"/>
  <c r="O22" i="3"/>
  <c r="J22" i="3"/>
  <c r="K22" i="3" s="1"/>
  <c r="G22" i="3"/>
  <c r="B22" i="3"/>
  <c r="C22" i="3" s="1"/>
  <c r="W21" i="3"/>
  <c r="R21" i="3"/>
  <c r="T21" i="3" s="1"/>
  <c r="O21" i="3"/>
  <c r="J21" i="3"/>
  <c r="L21" i="3" s="1"/>
  <c r="G21" i="3"/>
  <c r="B21" i="3"/>
  <c r="C21" i="3" s="1"/>
  <c r="W20" i="3"/>
  <c r="R20" i="3"/>
  <c r="S20" i="3" s="1"/>
  <c r="O20" i="3"/>
  <c r="J20" i="3"/>
  <c r="L20" i="3" s="1"/>
  <c r="G20" i="3"/>
  <c r="B20" i="3"/>
  <c r="D20" i="3" s="1"/>
  <c r="W19" i="3"/>
  <c r="R19" i="3"/>
  <c r="S19" i="3" s="1"/>
  <c r="O19" i="3"/>
  <c r="J19" i="3"/>
  <c r="K19" i="3" s="1"/>
  <c r="G19" i="3"/>
  <c r="B19" i="3"/>
  <c r="D19" i="3" s="1"/>
  <c r="W18" i="3"/>
  <c r="R18" i="3"/>
  <c r="T18" i="3" s="1"/>
  <c r="O18" i="3"/>
  <c r="J18" i="3"/>
  <c r="K18" i="3" s="1"/>
  <c r="G18" i="3"/>
  <c r="B18" i="3"/>
  <c r="C18" i="3" s="1"/>
  <c r="W17" i="3"/>
  <c r="R17" i="3"/>
  <c r="T17" i="3" s="1"/>
  <c r="O17" i="3"/>
  <c r="J17" i="3"/>
  <c r="L17" i="3" s="1"/>
  <c r="G17" i="3"/>
  <c r="B17" i="3"/>
  <c r="C17" i="3" s="1"/>
  <c r="W16" i="3"/>
  <c r="R16" i="3"/>
  <c r="S16" i="3" s="1"/>
  <c r="O16" i="3"/>
  <c r="J16" i="3"/>
  <c r="L16" i="3" s="1"/>
  <c r="G16" i="3"/>
  <c r="B16" i="3"/>
  <c r="D16" i="3" s="1"/>
  <c r="W15" i="3"/>
  <c r="R15" i="3"/>
  <c r="S15" i="3" s="1"/>
  <c r="O15" i="3"/>
  <c r="J15" i="3"/>
  <c r="K15" i="3" s="1"/>
  <c r="G15" i="3"/>
  <c r="B15" i="3"/>
  <c r="D15" i="3" s="1"/>
  <c r="W14" i="3"/>
  <c r="R14" i="3"/>
  <c r="T14" i="3" s="1"/>
  <c r="O14" i="3"/>
  <c r="J14" i="3"/>
  <c r="K14" i="3" s="1"/>
  <c r="G14" i="3"/>
  <c r="B14" i="3"/>
  <c r="C14" i="3" s="1"/>
  <c r="W13" i="3"/>
  <c r="R13" i="3"/>
  <c r="T13" i="3" s="1"/>
  <c r="O13" i="3"/>
  <c r="J13" i="3"/>
  <c r="L13" i="3" s="1"/>
  <c r="G13" i="3"/>
  <c r="B13" i="3"/>
  <c r="C13" i="3" s="1"/>
  <c r="W12" i="3"/>
  <c r="R12" i="3"/>
  <c r="S12" i="3" s="1"/>
  <c r="O12" i="3"/>
  <c r="J12" i="3"/>
  <c r="L12" i="3" s="1"/>
  <c r="G12" i="3"/>
  <c r="B12" i="3"/>
  <c r="D12" i="3" s="1"/>
  <c r="W11" i="3"/>
  <c r="R11" i="3"/>
  <c r="S11" i="3" s="1"/>
  <c r="O11" i="3"/>
  <c r="J11" i="3"/>
  <c r="K11" i="3" s="1"/>
  <c r="G11" i="3"/>
  <c r="B11" i="3"/>
  <c r="D11" i="3" s="1"/>
  <c r="W10" i="3"/>
  <c r="R10" i="3"/>
  <c r="T10" i="3" s="1"/>
  <c r="O10" i="3"/>
  <c r="J10" i="3"/>
  <c r="K10" i="3" s="1"/>
  <c r="G10" i="3"/>
  <c r="B10" i="3"/>
  <c r="C10" i="3" s="1"/>
  <c r="W9" i="3"/>
  <c r="R9" i="3"/>
  <c r="T9" i="3" s="1"/>
  <c r="O9" i="3"/>
  <c r="J9" i="3"/>
  <c r="L9" i="3" s="1"/>
  <c r="G9" i="3"/>
  <c r="B9" i="3"/>
  <c r="C9" i="3" s="1"/>
  <c r="W8" i="3"/>
  <c r="R8" i="3"/>
  <c r="S8" i="3" s="1"/>
  <c r="O8" i="3"/>
  <c r="J8" i="3"/>
  <c r="L8" i="3" s="1"/>
  <c r="G8" i="3"/>
  <c r="B8" i="3"/>
  <c r="D8" i="3" s="1"/>
  <c r="W7" i="3"/>
  <c r="R7" i="3"/>
  <c r="S7" i="3" s="1"/>
  <c r="O7" i="3"/>
  <c r="J7" i="3"/>
  <c r="K7" i="3" s="1"/>
  <c r="G7" i="3"/>
  <c r="B7" i="3"/>
  <c r="D7" i="3" s="1"/>
  <c r="W6" i="3"/>
  <c r="R6" i="3"/>
  <c r="T6" i="3" s="1"/>
  <c r="O6" i="3"/>
  <c r="J6" i="3"/>
  <c r="K6" i="3" s="1"/>
  <c r="G6" i="3"/>
  <c r="B6" i="3"/>
  <c r="C6" i="3" s="1"/>
  <c r="W5" i="3"/>
  <c r="R5" i="3"/>
  <c r="T5" i="3" s="1"/>
  <c r="O5" i="3"/>
  <c r="J5" i="3"/>
  <c r="K5" i="3" s="1"/>
  <c r="G5" i="3"/>
  <c r="B5" i="3"/>
  <c r="D5" i="3" s="1"/>
  <c r="B17" i="2"/>
  <c r="B4" i="2" l="1"/>
  <c r="D14" i="3"/>
  <c r="E14" i="3" s="1"/>
  <c r="L22" i="3"/>
  <c r="M22" i="3" s="1"/>
  <c r="T11" i="3"/>
  <c r="U11" i="3" s="1"/>
  <c r="C5" i="3"/>
  <c r="E5" i="3" s="1"/>
  <c r="S6" i="3"/>
  <c r="U6" i="3" s="1"/>
  <c r="L18" i="3"/>
  <c r="M18" i="3" s="1"/>
  <c r="L23" i="3"/>
  <c r="M23" i="3" s="1"/>
  <c r="K21" i="3"/>
  <c r="M21" i="3" s="1"/>
  <c r="B17" i="4"/>
  <c r="B19" i="4" s="1"/>
  <c r="E19" i="5" s="1"/>
  <c r="T12" i="3"/>
  <c r="U12" i="3" s="1"/>
  <c r="S10" i="3"/>
  <c r="U10" i="3" s="1"/>
  <c r="S32" i="3"/>
  <c r="U32" i="3" s="1"/>
  <c r="T8" i="3"/>
  <c r="U8" i="3" s="1"/>
  <c r="S22" i="3"/>
  <c r="U22" i="3" s="1"/>
  <c r="T23" i="3"/>
  <c r="U23" i="3" s="1"/>
  <c r="T7" i="3"/>
  <c r="U7" i="3" s="1"/>
  <c r="L19" i="3"/>
  <c r="M19" i="3" s="1"/>
  <c r="K17" i="3"/>
  <c r="M17" i="3" s="1"/>
  <c r="T35" i="3"/>
  <c r="U35" i="3" s="1"/>
  <c r="C12" i="3"/>
  <c r="E12" i="3" s="1"/>
  <c r="D13" i="3"/>
  <c r="E13" i="3" s="1"/>
  <c r="T24" i="3"/>
  <c r="U24" i="3" s="1"/>
  <c r="B20" i="4"/>
  <c r="B8" i="2" s="1"/>
  <c r="B5" i="2"/>
  <c r="D6" i="3"/>
  <c r="E6" i="3" s="1"/>
  <c r="S14" i="3"/>
  <c r="U14" i="3" s="1"/>
  <c r="T15" i="3"/>
  <c r="U15" i="3" s="1"/>
  <c r="T16" i="3"/>
  <c r="U16" i="3" s="1"/>
  <c r="K25" i="3"/>
  <c r="M25" i="3" s="1"/>
  <c r="T27" i="3"/>
  <c r="U27" i="3" s="1"/>
  <c r="T30" i="3"/>
  <c r="U30" i="3" s="1"/>
  <c r="C8" i="3"/>
  <c r="E8" i="3" s="1"/>
  <c r="D9" i="3"/>
  <c r="E9" i="3" s="1"/>
  <c r="D10" i="3"/>
  <c r="E10" i="3" s="1"/>
  <c r="S18" i="3"/>
  <c r="U18" i="3" s="1"/>
  <c r="T19" i="3"/>
  <c r="U19" i="3" s="1"/>
  <c r="T20" i="3"/>
  <c r="U20" i="3" s="1"/>
  <c r="B14" i="4"/>
  <c r="L5" i="3"/>
  <c r="M5" i="3" s="1"/>
  <c r="L6" i="3"/>
  <c r="M6" i="3" s="1"/>
  <c r="L7" i="3"/>
  <c r="M7" i="3" s="1"/>
  <c r="C16" i="3"/>
  <c r="E16" i="3" s="1"/>
  <c r="D17" i="3"/>
  <c r="E17" i="3" s="1"/>
  <c r="D18" i="3"/>
  <c r="E18" i="3" s="1"/>
  <c r="S28" i="3"/>
  <c r="U28" i="3" s="1"/>
  <c r="T31" i="3"/>
  <c r="U31" i="3" s="1"/>
  <c r="T34" i="3"/>
  <c r="U34" i="3" s="1"/>
  <c r="K9" i="3"/>
  <c r="M9" i="3" s="1"/>
  <c r="L10" i="3"/>
  <c r="M10" i="3" s="1"/>
  <c r="L11" i="3"/>
  <c r="M11" i="3" s="1"/>
  <c r="C20" i="3"/>
  <c r="E20" i="3" s="1"/>
  <c r="D21" i="3"/>
  <c r="E21" i="3" s="1"/>
  <c r="D22" i="3"/>
  <c r="E22" i="3" s="1"/>
  <c r="K13" i="3"/>
  <c r="M13" i="3" s="1"/>
  <c r="L14" i="3"/>
  <c r="M14" i="3" s="1"/>
  <c r="L15" i="3"/>
  <c r="M15" i="3" s="1"/>
  <c r="C24" i="3"/>
  <c r="E24" i="3" s="1"/>
  <c r="D25" i="3"/>
  <c r="E25" i="3" s="1"/>
  <c r="T26" i="3"/>
  <c r="U26" i="3" s="1"/>
  <c r="B8" i="5"/>
  <c r="E8" i="5" s="1"/>
  <c r="C7" i="3"/>
  <c r="E7" i="3" s="1"/>
  <c r="K8" i="3"/>
  <c r="M8" i="3" s="1"/>
  <c r="S9" i="3"/>
  <c r="U9" i="3" s="1"/>
  <c r="C11" i="3"/>
  <c r="E11" i="3" s="1"/>
  <c r="K12" i="3"/>
  <c r="M12" i="3" s="1"/>
  <c r="S13" i="3"/>
  <c r="U13" i="3" s="1"/>
  <c r="C15" i="3"/>
  <c r="E15" i="3" s="1"/>
  <c r="K16" i="3"/>
  <c r="M16" i="3" s="1"/>
  <c r="S17" i="3"/>
  <c r="U17" i="3" s="1"/>
  <c r="C19" i="3"/>
  <c r="E19" i="3" s="1"/>
  <c r="K20" i="3"/>
  <c r="M20" i="3" s="1"/>
  <c r="S21" i="3"/>
  <c r="U21" i="3" s="1"/>
  <c r="C23" i="3"/>
  <c r="E23" i="3" s="1"/>
  <c r="K24" i="3"/>
  <c r="M24" i="3" s="1"/>
  <c r="S25" i="3"/>
  <c r="U25" i="3" s="1"/>
  <c r="S29" i="3"/>
  <c r="U29" i="3" s="1"/>
  <c r="S33" i="3"/>
  <c r="U33" i="3" s="1"/>
  <c r="S5" i="3"/>
  <c r="U5" i="3" s="1"/>
  <c r="B15" i="5"/>
  <c r="F9" i="3" l="1"/>
  <c r="F10" i="3"/>
  <c r="B30" i="5" s="1"/>
  <c r="V11" i="3"/>
  <c r="V7" i="3"/>
  <c r="F22" i="3"/>
  <c r="V12" i="3"/>
  <c r="V6" i="3"/>
  <c r="V8" i="3"/>
  <c r="N6" i="3"/>
  <c r="F14" i="3"/>
  <c r="V16" i="3"/>
  <c r="N22" i="3"/>
  <c r="N13" i="3"/>
  <c r="V33" i="3"/>
  <c r="V20" i="3"/>
  <c r="V28" i="3"/>
  <c r="V14" i="3"/>
  <c r="B21" i="4"/>
  <c r="B9" i="2" s="1"/>
  <c r="B6" i="2"/>
  <c r="N7" i="3"/>
  <c r="V9" i="3"/>
  <c r="F6" i="3"/>
  <c r="N15" i="3"/>
  <c r="N23" i="3"/>
  <c r="N20" i="3"/>
  <c r="F18" i="3"/>
  <c r="N11" i="3"/>
  <c r="V25" i="3"/>
  <c r="V23" i="3"/>
  <c r="V27" i="3"/>
  <c r="B19" i="5"/>
  <c r="F11" i="3"/>
  <c r="C30" i="5" s="1"/>
  <c r="N18" i="3"/>
  <c r="F21" i="3"/>
  <c r="B7" i="2"/>
  <c r="V31" i="3"/>
  <c r="V32" i="3"/>
  <c r="V35" i="3"/>
  <c r="N10" i="3"/>
  <c r="F23" i="3"/>
  <c r="N12" i="3"/>
  <c r="V17" i="3"/>
  <c r="F7" i="3"/>
  <c r="F12" i="3"/>
  <c r="V24" i="3"/>
  <c r="V21" i="3"/>
  <c r="N8" i="3"/>
  <c r="N16" i="3"/>
  <c r="F15" i="3"/>
  <c r="V10" i="3"/>
  <c r="N19" i="3"/>
  <c r="F19" i="3"/>
  <c r="V29" i="3"/>
  <c r="N24" i="3"/>
  <c r="V13" i="3"/>
  <c r="F20" i="3"/>
  <c r="N25" i="3"/>
  <c r="N17" i="3"/>
  <c r="F16" i="3"/>
  <c r="V34" i="3"/>
  <c r="F17" i="3"/>
  <c r="N14" i="3"/>
  <c r="N9" i="3"/>
  <c r="V22" i="3"/>
  <c r="V15" i="3"/>
  <c r="V18" i="3"/>
  <c r="F24" i="3"/>
  <c r="V26" i="3"/>
  <c r="F13" i="3"/>
  <c r="V30" i="3"/>
  <c r="V19" i="3"/>
  <c r="F25" i="3"/>
  <c r="F8" i="3"/>
  <c r="N21" i="3"/>
  <c r="E12" i="5" l="1"/>
  <c r="B13" i="5"/>
  <c r="E13" i="5" s="1"/>
  <c r="E14" i="5"/>
  <c r="B14" i="5"/>
  <c r="E11" i="5"/>
  <c r="B22" i="4"/>
  <c r="E10" i="5"/>
  <c r="B25" i="4" l="1"/>
  <c r="B10" i="2"/>
  <c r="B23" i="4"/>
  <c r="B14" i="2" l="1"/>
  <c r="B13" i="2"/>
  <c r="B12" i="2"/>
  <c r="B11" i="2"/>
  <c r="B16" i="2"/>
  <c r="B27" i="4"/>
  <c r="B28" i="4" l="1"/>
  <c r="B9" i="5" s="1"/>
  <c r="E9" i="5" s="1"/>
  <c r="B18" i="2"/>
  <c r="B22" i="5" s="1" a="1"/>
  <c r="B22" i="5" s="1"/>
  <c r="E2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<sst xmlns="http://schemas.openxmlformats.org/spreadsheetml/2006/main" count="288" uniqueCount="198">
  <si>
    <t>Marginal Analysis Inputs</t>
  </si>
  <si>
    <t>Provided constants and assumptions; yellow cells are editable inputs.</t>
  </si>
  <si>
    <t>Name</t>
  </si>
  <si>
    <t>Value</t>
  </si>
  <si>
    <t>Unit</t>
  </si>
  <si>
    <t>Source</t>
  </si>
  <si>
    <t>SEASON_WEEKS</t>
  </si>
  <si>
    <t>Weeks per season</t>
  </si>
  <si>
    <t>Case scenario, farm table</t>
  </si>
  <si>
    <t>FIXED_COSTS</t>
  </si>
  <si>
    <t>USD per season</t>
  </si>
  <si>
    <t>TOTAL_BEDS_AVAILABLE</t>
  </si>
  <si>
    <t>Beds</t>
  </si>
  <si>
    <t>FARMER_HOURS_AVAILABLE</t>
  </si>
  <si>
    <t>Field hours per season</t>
  </si>
  <si>
    <t>FARMER_HOURLY_RATE</t>
  </si>
  <si>
    <t>USD per field hour</t>
  </si>
  <si>
    <t>Case scenario and Farm Profit Lab</t>
  </si>
  <si>
    <t>MAX_TEMP_WORKERS</t>
  </si>
  <si>
    <t>Workers per season</t>
  </si>
  <si>
    <t>TEMP_HOURS_PER_WORKER</t>
  </si>
  <si>
    <t>Field hours per worker season</t>
  </si>
  <si>
    <t>TEMP_HOURLY_RATE</t>
  </si>
  <si>
    <t>TOM_BED_CAP</t>
  </si>
  <si>
    <t>Case scenario, crop table</t>
  </si>
  <si>
    <t>TOM_PRICE</t>
  </si>
  <si>
    <t>USD per bed</t>
  </si>
  <si>
    <t>TOM_HRS</t>
  </si>
  <si>
    <t>Hours per week per bed</t>
  </si>
  <si>
    <t>TOM_FERT_COST</t>
  </si>
  <si>
    <t>TOM_DIM_PCT</t>
  </si>
  <si>
    <t>Percent per additional bed</t>
  </si>
  <si>
    <t>CAR_BED_CAP</t>
  </si>
  <si>
    <t>CAR_PRICE</t>
  </si>
  <si>
    <t>CAR_HRS</t>
  </si>
  <si>
    <t>CAR_FERT_COST</t>
  </si>
  <si>
    <t>CAR_DIM_PCT</t>
  </si>
  <si>
    <t>MES_BED_CAP</t>
  </si>
  <si>
    <t>MES_PRICE</t>
  </si>
  <si>
    <t>MES_HRS</t>
  </si>
  <si>
    <t>MES_FERT_COST</t>
  </si>
  <si>
    <t>MES_DIM_PCT</t>
  </si>
  <si>
    <t>Cost Structure</t>
  </si>
  <si>
    <t>Formula-driven cost build for the current Optimization decision cells.</t>
  </si>
  <si>
    <t>Metric</t>
  </si>
  <si>
    <t>Formula basis</t>
  </si>
  <si>
    <t>Total labor hours</t>
  </si>
  <si>
    <t>Hours</t>
  </si>
  <si>
    <t>Crop labor hours summed</t>
  </si>
  <si>
    <t>Farmer hours used</t>
  </si>
  <si>
    <t>Farmer hours consumed first</t>
  </si>
  <si>
    <t>Temporary hours used</t>
  </si>
  <si>
    <t>Remainder after farmer hours</t>
  </si>
  <si>
    <t>Temporary-worker equivalents</t>
  </si>
  <si>
    <t>Workers</t>
  </si>
  <si>
    <t>Temp hours / 1,440</t>
  </si>
  <si>
    <t>Farmer labor cost</t>
  </si>
  <si>
    <t>USD</t>
  </si>
  <si>
    <t>Farmer hours × rate</t>
  </si>
  <si>
    <t>Temporary labor cost</t>
  </si>
  <si>
    <t>Temp hours × rate</t>
  </si>
  <si>
    <t>Total labor cost</t>
  </si>
  <si>
    <t>Farmer + temporary labor</t>
  </si>
  <si>
    <t>Blended labor rate</t>
  </si>
  <si>
    <t>USD/hour</t>
  </si>
  <si>
    <t>Total labor cost / total hours</t>
  </si>
  <si>
    <t>Tomato labor cost</t>
  </si>
  <si>
    <t>Crop hours × blended rate</t>
  </si>
  <si>
    <t>Carrot labor cost</t>
  </si>
  <si>
    <t>Mesclun labor cost</t>
  </si>
  <si>
    <t>Total fertilizer cost</t>
  </si>
  <si>
    <t>Beds × crop fertilizer rates</t>
  </si>
  <si>
    <t>Total variable cost</t>
  </si>
  <si>
    <t>Labor + fertilizer</t>
  </si>
  <si>
    <t>Fixed costs</t>
  </si>
  <si>
    <t>Included once</t>
  </si>
  <si>
    <t>Total cost</t>
  </si>
  <si>
    <t>Variable + fixed</t>
  </si>
  <si>
    <t>Standalone Marginal-Cost Schedules</t>
  </si>
  <si>
    <t>Each crop is evaluated alone; fixed costs are excluded and q = 0 marginal cost is blank.</t>
  </si>
  <si>
    <t>Tomatoes</t>
  </si>
  <si>
    <t>Carrots</t>
  </si>
  <si>
    <t>Mesclun</t>
  </si>
  <si>
    <t>Beds (q)</t>
  </si>
  <si>
    <t>Labor hours</t>
  </si>
  <si>
    <t>Farmer hours</t>
  </si>
  <si>
    <t>Temp hours</t>
  </si>
  <si>
    <t>Standalone variable cost</t>
  </si>
  <si>
    <t>Marginal cost</t>
  </si>
  <si>
    <t>Market price</t>
  </si>
  <si>
    <t>Farm Optimization</t>
  </si>
  <si>
    <t>Green cells are calculated; yellow cells are Solver decision cells.</t>
  </si>
  <si>
    <t>Decision variables</t>
  </si>
  <si>
    <t>Solver setup</t>
  </si>
  <si>
    <t>Decision</t>
  </si>
  <si>
    <t>Constraint</t>
  </si>
  <si>
    <t>Setting</t>
  </si>
  <si>
    <t>Requirement</t>
  </si>
  <si>
    <t>Tomato beds</t>
  </si>
  <si>
    <t>0 to TOM_BED_CAP</t>
  </si>
  <si>
    <t>Objective</t>
  </si>
  <si>
    <t>Maximize TOTAL_PROFIT</t>
  </si>
  <si>
    <t>Carrot beds</t>
  </si>
  <si>
    <t>0 to CAR_BED_CAP</t>
  </si>
  <si>
    <t>Changing cells</t>
  </si>
  <si>
    <t>TOM_BEDS, CAR_BEDS, MES_BEDS</t>
  </si>
  <si>
    <t>Mesclun beds</t>
  </si>
  <si>
    <t>0 to MES_BED_CAP</t>
  </si>
  <si>
    <t>Method</t>
  </si>
  <si>
    <t>GRG Nonlinear</t>
  </si>
  <si>
    <t>Decision type</t>
  </si>
  <si>
    <t>Nonnegative integers</t>
  </si>
  <si>
    <t>Objective and farm results</t>
  </si>
  <si>
    <t>Total beds used</t>
  </si>
  <si>
    <t>Crop caps</t>
  </si>
  <si>
    <t>20 tomato; 20 carrot; 30 mesclun</t>
  </si>
  <si>
    <t>Tomato revenue</t>
  </si>
  <si>
    <t>Temp capacity</t>
  </si>
  <si>
    <t>TEMP_WORKERS_NEEDED &lt;= 4</t>
  </si>
  <si>
    <t>Carrot revenue</t>
  </si>
  <si>
    <t>Mesclun revenue</t>
  </si>
  <si>
    <t>Total revenue</t>
  </si>
  <si>
    <t>Maximum temporary hours</t>
  </si>
  <si>
    <t>Total season profit</t>
  </si>
  <si>
    <t>Validation and Audit Checks</t>
  </si>
  <si>
    <t>PASS/FAIL checks are formula-driven; Solver run evidence is recorded manually after each run.</t>
  </si>
  <si>
    <t>Check</t>
  </si>
  <si>
    <t>Actual</t>
  </si>
  <si>
    <t>Expected</t>
  </si>
  <si>
    <t>Difference / rule</t>
  </si>
  <si>
    <t>Status</t>
  </si>
  <si>
    <t>What it catches</t>
  </si>
  <si>
    <t>One-bed tomato labor</t>
  </si>
  <si>
    <t>Within 0.01 hour</t>
  </si>
  <si>
    <t>Dropped exponent or incorrect labor formula</t>
  </si>
  <si>
    <t>Optimized tomato beds</t>
  </si>
  <si>
    <t>Exact</t>
  </si>
  <si>
    <t>Incorrect optimization result</t>
  </si>
  <si>
    <t>Optimized carrot beds</t>
  </si>
  <si>
    <t>Optimized mesclun beds</t>
  </si>
  <si>
    <t>Optimized total beds</t>
  </si>
  <si>
    <t>Incorrect total or constraint</t>
  </si>
  <si>
    <t>Optimized season profit</t>
  </si>
  <si>
    <t>Rounds to nearest dollar</t>
  </si>
  <si>
    <t>Aggregate model error</t>
  </si>
  <si>
    <t>Tomato P ≈ MC quantity</t>
  </si>
  <si>
    <t>MC(q) ≤ P; MC(q+1) &gt; P</t>
  </si>
  <si>
    <t>Incorrect standalone MC schedule</t>
  </si>
  <si>
    <t>Carrot P ≈ MC quantity</t>
  </si>
  <si>
    <t>Mesclun P ≈ MC quantity</t>
  </si>
  <si>
    <t>Farm Profit Lab TOM_MC(6)</t>
  </si>
  <si>
    <t>Within $1 after rounding</t>
  </si>
  <si>
    <t>Intermediate model error</t>
  </si>
  <si>
    <t>Tomato MC dip</t>
  </si>
  <si>
    <t>TOM_MC(6) &lt; TOM_MC(5)</t>
  </si>
  <si>
    <t>Record both values</t>
  </si>
  <si>
    <t>Unexpected schedule shape</t>
  </si>
  <si>
    <t>Total-bed constraint</t>
  </si>
  <si>
    <t>≤ 64</t>
  </si>
  <si>
    <t>TOTAL_BEDS_USED ≤ TOTAL_BEDS_AVAILABLE</t>
  </si>
  <si>
    <t>Farm capacity violation</t>
  </si>
  <si>
    <t>Tomato bed cap</t>
  </si>
  <si>
    <t>≤ 20</t>
  </si>
  <si>
    <t>TOM_BEDS ≤ TOM_BED_CAP</t>
  </si>
  <si>
    <t>Crop-cap violation</t>
  </si>
  <si>
    <t>Carrot bed cap</t>
  </si>
  <si>
    <t>CAR_BEDS ≤ CAR_BED_CAP</t>
  </si>
  <si>
    <t>Mesclun bed cap</t>
  </si>
  <si>
    <t>≤ 30</t>
  </si>
  <si>
    <t>MES_BEDS ≤ MES_BED_CAP</t>
  </si>
  <si>
    <t>Temporary-worker capacity</t>
  </si>
  <si>
    <t>≤ 4</t>
  </si>
  <si>
    <t>TEMP_WORKERS_NEEDED ≤ MAX_TEMP_WORKERS</t>
  </si>
  <si>
    <t>Labor-capacity violation</t>
  </si>
  <si>
    <t>Nonnegative beds</t>
  </si>
  <si>
    <t>All ≥ 0</t>
  </si>
  <si>
    <t>Three decisions</t>
  </si>
  <si>
    <t>Invalid decisions</t>
  </si>
  <si>
    <t>Integer beds</t>
  </si>
  <si>
    <t>Whole numbers</t>
  </si>
  <si>
    <t>Formula errors</t>
  </si>
  <si>
    <t>No errors</t>
  </si>
  <si>
    <t>All designated calculated cells</t>
  </si>
  <si>
    <t>Broken formulas or references</t>
  </si>
  <si>
    <t>Starting point</t>
  </si>
  <si>
    <t>Final tomato</t>
  </si>
  <si>
    <t>Final carrot</t>
  </si>
  <si>
    <t>Final mesclun</t>
  </si>
  <si>
    <t>Total beds</t>
  </si>
  <si>
    <t>Total profit</t>
  </si>
  <si>
    <t>Solver status</t>
  </si>
  <si>
    <t>0/0/0</t>
  </si>
  <si>
    <t>20/0/0</t>
  </si>
  <si>
    <t>Tomato dip evidence</t>
  </si>
  <si>
    <t>Bed 5 MC</t>
  </si>
  <si>
    <t>Bed 6 MC</t>
  </si>
  <si>
    <t>MC decreases at bed 6</t>
  </si>
  <si>
    <t>Solution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</si>
</sst>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0.0%"/>
    <numFmt numFmtId="167" formatCode="0.000"/>
  </numFmts>
  <fonts count="5">
    <font>
      <sz val="11"/>
      <name val="Carlito"/>
    </font>
    <font>
      <b/>
      <sz val="10"/>
      <color rgb="FFFFFFFF"/>
      <name val="Aptos"/>
    </font>
    <font>
      <sz val="10"/>
      <name val="Aptos"/>
    </font>
    <font>
      <i/>
      <sz val="10"/>
      <color rgb="FF595959"/>
      <name val="Aptos"/>
    </font>
    <font>
      <b/>
      <sz val="10"/>
      <color rgb="FF17365D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6B6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2" fontId="2" fillId="4" borderId="1" xfId="0" applyNumberFormat="1" applyFont="1" applyFill="1" applyBorder="1" applyAlignment="1">
      <alignment horizontal="right" vertical="center" wrapText="1"/>
    </xf>
    <xf numFmtId="166" fontId="2" fillId="4" borderId="1" xfId="0" applyNumberFormat="1" applyFont="1" applyFill="1" applyBorder="1" applyAlignment="1">
      <alignment horizontal="right" vertical="center" wrapText="1"/>
    </xf>
    <xf numFmtId="167" fontId="2" fillId="4" borderId="1" xfId="0" applyNumberFormat="1" applyFont="1" applyFill="1" applyBorder="1" applyAlignment="1">
      <alignment horizontal="right" vertical="center" wrapText="1"/>
    </xf>
    <xf numFmtId="10" fontId="2" fillId="4" borderId="1" xfId="0" applyNumberFormat="1" applyFont="1" applyFill="1" applyBorder="1" applyAlignment="1">
      <alignment horizontal="right" vertical="center" wrapText="1"/>
    </xf>
    <xf numFmtId="4" fontId="2" fillId="6" borderId="1" xfId="0" applyNumberFormat="1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vertical="center" wrapText="1"/>
    </xf>
    <xf numFmtId="165" fontId="2" fillId="6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2" fontId="2" fillId="6" borderId="1" xfId="0" applyNumberFormat="1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3" fontId="2" fillId="6" borderId="1" xfId="0" applyNumberFormat="1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5" borderId="2" xfId="0" applyFont="1" applyFill="1" applyBorder="1" applyAlignment="1">
      <alignment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3"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38" customWidth="1"/>
  </cols>
  <sheetData>
    <row r="1" spans="1:4" ht="15" customHeight="1">
      <c r="A1" s="22" t="s">
        <v>0</v>
      </c>
      <c r="B1" s="21"/>
      <c r="C1" s="21"/>
      <c r="D1" s="21"/>
    </row>
    <row r="2" spans="1:4" ht="24" customHeight="1">
      <c r="A2" s="20" t="s">
        <v>1</v>
      </c>
      <c r="B2" s="21"/>
      <c r="C2" s="21"/>
      <c r="D2" s="21"/>
    </row>
    <row r="3" spans="1:4" ht="15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4" ht="36" customHeight="1">
      <c r="A4" s="3" t="s">
        <v>6</v>
      </c>
      <c r="B4" s="4">
        <v>36</v>
      </c>
      <c r="C4" s="3" t="s">
        <v>7</v>
      </c>
      <c r="D4" s="3" t="s">
        <v>8</v>
      </c>
    </row>
    <row r="5" spans="1:4" ht="36" customHeight="1">
      <c r="A5" s="3" t="s">
        <v>9</v>
      </c>
      <c r="B5" s="5">
        <v>20000</v>
      </c>
      <c r="C5" s="3" t="s">
        <v>10</v>
      </c>
      <c r="D5" s="3" t="s">
        <v>8</v>
      </c>
    </row>
    <row r="6" spans="1:4" ht="36" customHeight="1">
      <c r="A6" s="3" t="s">
        <v>11</v>
      </c>
      <c r="B6" s="4">
        <v>64</v>
      </c>
      <c r="C6" s="3" t="s">
        <v>12</v>
      </c>
      <c r="D6" s="3" t="s">
        <v>8</v>
      </c>
    </row>
    <row r="7" spans="1:4" ht="36" customHeight="1">
      <c r="A7" s="3" t="s">
        <v>13</v>
      </c>
      <c r="B7" s="4">
        <v>720</v>
      </c>
      <c r="C7" s="3" t="s">
        <v>14</v>
      </c>
      <c r="D7" s="3" t="s">
        <v>8</v>
      </c>
    </row>
    <row r="8" spans="1:4" ht="48" customHeight="1">
      <c r="A8" s="3" t="s">
        <v>15</v>
      </c>
      <c r="B8" s="6">
        <v>34.722222222200003</v>
      </c>
      <c r="C8" s="3" t="s">
        <v>16</v>
      </c>
      <c r="D8" s="3" t="s">
        <v>17</v>
      </c>
    </row>
    <row r="9" spans="1:4" ht="36" customHeight="1">
      <c r="A9" s="3" t="s">
        <v>18</v>
      </c>
      <c r="B9" s="4">
        <v>4</v>
      </c>
      <c r="C9" s="3" t="s">
        <v>19</v>
      </c>
      <c r="D9" s="3" t="s">
        <v>8</v>
      </c>
    </row>
    <row r="10" spans="1:4" ht="36" customHeight="1">
      <c r="A10" s="3" t="s">
        <v>20</v>
      </c>
      <c r="B10" s="4">
        <v>1440</v>
      </c>
      <c r="C10" s="3" t="s">
        <v>21</v>
      </c>
      <c r="D10" s="3" t="s">
        <v>8</v>
      </c>
    </row>
    <row r="11" spans="1:4" ht="48" customHeight="1">
      <c r="A11" s="3" t="s">
        <v>22</v>
      </c>
      <c r="B11" s="6">
        <v>17.361111111100001</v>
      </c>
      <c r="C11" s="3" t="s">
        <v>16</v>
      </c>
      <c r="D11" s="3" t="s">
        <v>17</v>
      </c>
    </row>
    <row r="12" spans="1:4" ht="36" customHeight="1">
      <c r="A12" s="3" t="s">
        <v>23</v>
      </c>
      <c r="B12" s="4">
        <v>20</v>
      </c>
      <c r="C12" s="3" t="s">
        <v>12</v>
      </c>
      <c r="D12" s="3" t="s">
        <v>24</v>
      </c>
    </row>
    <row r="13" spans="1:4" ht="36" customHeight="1">
      <c r="A13" s="3" t="s">
        <v>25</v>
      </c>
      <c r="B13" s="5">
        <v>8800</v>
      </c>
      <c r="C13" s="3" t="s">
        <v>26</v>
      </c>
      <c r="D13" s="3" t="s">
        <v>24</v>
      </c>
    </row>
    <row r="14" spans="1:4" ht="36" customHeight="1">
      <c r="A14" s="3" t="s">
        <v>27</v>
      </c>
      <c r="B14" s="7">
        <v>2.5</v>
      </c>
      <c r="C14" s="3" t="s">
        <v>28</v>
      </c>
      <c r="D14" s="3" t="s">
        <v>24</v>
      </c>
    </row>
    <row r="15" spans="1:4" ht="36" customHeight="1">
      <c r="A15" s="3" t="s">
        <v>29</v>
      </c>
      <c r="B15" s="5">
        <v>880</v>
      </c>
      <c r="C15" s="3" t="s">
        <v>26</v>
      </c>
      <c r="D15" s="3" t="s">
        <v>24</v>
      </c>
    </row>
    <row r="16" spans="1:4" ht="36" customHeight="1">
      <c r="A16" s="3" t="s">
        <v>30</v>
      </c>
      <c r="B16" s="8">
        <v>0.1</v>
      </c>
      <c r="C16" s="3" t="s">
        <v>31</v>
      </c>
      <c r="D16" s="3" t="s">
        <v>24</v>
      </c>
    </row>
    <row r="17" spans="1:4" ht="36" customHeight="1">
      <c r="A17" s="3" t="s">
        <v>32</v>
      </c>
      <c r="B17" s="4">
        <v>20</v>
      </c>
      <c r="C17" s="3" t="s">
        <v>12</v>
      </c>
      <c r="D17" s="3" t="s">
        <v>24</v>
      </c>
    </row>
    <row r="18" spans="1:4" ht="36" customHeight="1">
      <c r="A18" s="3" t="s">
        <v>33</v>
      </c>
      <c r="B18" s="5">
        <v>2094</v>
      </c>
      <c r="C18" s="3" t="s">
        <v>26</v>
      </c>
      <c r="D18" s="3" t="s">
        <v>24</v>
      </c>
    </row>
    <row r="19" spans="1:4" ht="48" customHeight="1">
      <c r="A19" s="3" t="s">
        <v>34</v>
      </c>
      <c r="B19" s="9">
        <v>0.83333333330000003</v>
      </c>
      <c r="C19" s="3" t="s">
        <v>28</v>
      </c>
      <c r="D19" s="3" t="s">
        <v>17</v>
      </c>
    </row>
    <row r="20" spans="1:4" ht="36" customHeight="1">
      <c r="A20" s="3" t="s">
        <v>35</v>
      </c>
      <c r="B20" s="5">
        <v>440</v>
      </c>
      <c r="C20" s="3" t="s">
        <v>26</v>
      </c>
      <c r="D20" s="3" t="s">
        <v>24</v>
      </c>
    </row>
    <row r="21" spans="1:4" ht="36" customHeight="1">
      <c r="A21" s="3" t="s">
        <v>36</v>
      </c>
      <c r="B21" s="8">
        <v>2.5000000000000001E-2</v>
      </c>
      <c r="C21" s="3" t="s">
        <v>31</v>
      </c>
      <c r="D21" s="3" t="s">
        <v>24</v>
      </c>
    </row>
    <row r="22" spans="1:4" ht="36" customHeight="1">
      <c r="A22" s="3" t="s">
        <v>37</v>
      </c>
      <c r="B22" s="4">
        <v>30</v>
      </c>
      <c r="C22" s="3" t="s">
        <v>12</v>
      </c>
      <c r="D22" s="3" t="s">
        <v>24</v>
      </c>
    </row>
    <row r="23" spans="1:4" ht="36" customHeight="1">
      <c r="A23" s="3" t="s">
        <v>38</v>
      </c>
      <c r="B23" s="5">
        <v>2700</v>
      </c>
      <c r="C23" s="3" t="s">
        <v>26</v>
      </c>
      <c r="D23" s="3" t="s">
        <v>24</v>
      </c>
    </row>
    <row r="24" spans="1:4" ht="36" customHeight="1">
      <c r="A24" s="3" t="s">
        <v>39</v>
      </c>
      <c r="B24" s="7">
        <v>1.25</v>
      </c>
      <c r="C24" s="3" t="s">
        <v>28</v>
      </c>
      <c r="D24" s="3" t="s">
        <v>24</v>
      </c>
    </row>
    <row r="25" spans="1:4" ht="36" customHeight="1">
      <c r="A25" s="3" t="s">
        <v>40</v>
      </c>
      <c r="B25" s="5">
        <v>880</v>
      </c>
      <c r="C25" s="3" t="s">
        <v>26</v>
      </c>
      <c r="D25" s="3" t="s">
        <v>24</v>
      </c>
    </row>
    <row r="26" spans="1:4" ht="36" customHeight="1">
      <c r="A26" s="3" t="s">
        <v>41</v>
      </c>
      <c r="B26" s="10">
        <v>1.2500000000000001E-2</v>
      </c>
      <c r="C26" s="3" t="s">
        <v>31</v>
      </c>
      <c r="D26" s="3" t="s">
        <v>24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8.83203125" defaultRowHeight="14"/>
  <cols>
    <col min="1" max="1" width="28" customWidth="1"/>
    <col min="2" max="2" width="16" customWidth="1"/>
    <col min="3" max="3" width="14" customWidth="1"/>
    <col min="4" max="4" width="34" customWidth="1"/>
  </cols>
  <sheetData>
    <row r="1" spans="1:4" ht="15" customHeight="1">
      <c r="A1" s="22" t="s">
        <v>42</v>
      </c>
      <c r="B1" s="21"/>
      <c r="C1" s="21"/>
      <c r="D1" s="21"/>
    </row>
    <row r="2" spans="1:4" ht="24" customHeight="1">
      <c r="A2" s="20" t="s">
        <v>43</v>
      </c>
      <c r="B2" s="21"/>
      <c r="C2" s="21"/>
      <c r="D2" s="21"/>
    </row>
    <row r="3" spans="1:4" ht="24" customHeight="1">
      <c r="A3" s="1" t="s">
        <v>44</v>
      </c>
      <c r="B3" s="1" t="s">
        <v>3</v>
      </c>
      <c r="C3" s="1" t="s">
        <v>4</v>
      </c>
      <c r="D3" s="1" t="s">
        <v>45</v>
      </c>
    </row>
    <row r="4" spans="1:4" ht="36" customHeight="1">
      <c r="A4" s="3" t="s">
        <v>46</v>
      </c>
      <c r="B4" s="11">
        <f>TOTAL_LABOR_HRS</f>
        <v>5277.2161142345612</v>
      </c>
      <c r="C4" s="3" t="s">
        <v>47</v>
      </c>
      <c r="D4" s="3" t="s">
        <v>48</v>
      </c>
    </row>
    <row r="5" spans="1:4" ht="48" customHeight="1">
      <c r="A5" s="3" t="s">
        <v>49</v>
      </c>
      <c r="B5" s="11">
        <f>FARMER_HOURS_USED</f>
        <v>720</v>
      </c>
      <c r="C5" s="3" t="s">
        <v>47</v>
      </c>
      <c r="D5" s="3" t="s">
        <v>50</v>
      </c>
    </row>
    <row r="6" spans="1:4" ht="36" customHeight="1">
      <c r="A6" s="3" t="s">
        <v>51</v>
      </c>
      <c r="B6" s="11">
        <f>TEMP_HOURS_USED</f>
        <v>4557.2161142345612</v>
      </c>
      <c r="C6" s="3" t="s">
        <v>47</v>
      </c>
      <c r="D6" s="3" t="s">
        <v>52</v>
      </c>
    </row>
    <row r="7" spans="1:4" ht="36" customHeight="1">
      <c r="A7" s="3" t="s">
        <v>53</v>
      </c>
      <c r="B7" s="11">
        <f>TEMP_WORKERS_NEEDED</f>
        <v>3.1647334126628897</v>
      </c>
      <c r="C7" s="3" t="s">
        <v>54</v>
      </c>
      <c r="D7" s="3" t="s">
        <v>55</v>
      </c>
    </row>
    <row r="8" spans="1:4" ht="36" customHeight="1">
      <c r="A8" s="3" t="s">
        <v>56</v>
      </c>
      <c r="B8" s="12">
        <f>FARMER_LABOR_COST</f>
        <v>24999.999999984</v>
      </c>
      <c r="C8" s="3" t="s">
        <v>57</v>
      </c>
      <c r="D8" s="3" t="s">
        <v>58</v>
      </c>
    </row>
    <row r="9" spans="1:4" ht="24" customHeight="1">
      <c r="A9" s="3" t="s">
        <v>59</v>
      </c>
      <c r="B9" s="12">
        <f>TEMP_LABOR_COST</f>
        <v>79118.33531652161</v>
      </c>
      <c r="C9" s="3" t="s">
        <v>57</v>
      </c>
      <c r="D9" s="3" t="s">
        <v>60</v>
      </c>
    </row>
    <row r="10" spans="1:4" ht="36" customHeight="1">
      <c r="A10" s="3" t="s">
        <v>61</v>
      </c>
      <c r="B10" s="12">
        <f>TOTAL_LABOR_COST</f>
        <v>104118.3353165056</v>
      </c>
      <c r="C10" s="3" t="s">
        <v>57</v>
      </c>
      <c r="D10" s="3" t="s">
        <v>62</v>
      </c>
    </row>
    <row r="11" spans="1:4" ht="36" customHeight="1">
      <c r="A11" s="3" t="s">
        <v>63</v>
      </c>
      <c r="B11" s="13">
        <f>BLENDED_LABOR_RATE</f>
        <v>19.729784239015867</v>
      </c>
      <c r="C11" s="3" t="s">
        <v>64</v>
      </c>
      <c r="D11" s="3" t="s">
        <v>65</v>
      </c>
    </row>
    <row r="12" spans="1:4" ht="36" customHeight="1">
      <c r="A12" s="3" t="s">
        <v>66</v>
      </c>
      <c r="B12" s="12">
        <f>TOM_BEDS*TOM_HRS*SEASON_WEEKS*(1+TOM_DIM_PCT)^TOM_BEDS*BLENDED_LABOR_RATE</f>
        <v>46056.581198412539</v>
      </c>
      <c r="C12" s="3" t="s">
        <v>57</v>
      </c>
      <c r="D12" s="3" t="s">
        <v>67</v>
      </c>
    </row>
    <row r="13" spans="1:4" ht="36" customHeight="1">
      <c r="A13" s="3" t="s">
        <v>68</v>
      </c>
      <c r="B13" s="12">
        <f>CAR_BEDS*CAR_HRS*SEASON_WEEKS*(1+CAR_DIM_PCT)^CAR_BEDS*BLENDED_LABOR_RATE</f>
        <v>19397.729289684328</v>
      </c>
      <c r="C13" s="3" t="s">
        <v>57</v>
      </c>
      <c r="D13" s="3" t="s">
        <v>67</v>
      </c>
    </row>
    <row r="14" spans="1:4" ht="36" customHeight="1">
      <c r="A14" s="3" t="s">
        <v>69</v>
      </c>
      <c r="B14" s="12">
        <f>MES_BEDS*MES_HRS*SEASON_WEEKS*(1+MES_DIM_PCT)^MES_BEDS*BLENDED_LABOR_RATE</f>
        <v>38664.024828408736</v>
      </c>
      <c r="C14" s="3" t="s">
        <v>57</v>
      </c>
      <c r="D14" s="3" t="s">
        <v>67</v>
      </c>
    </row>
    <row r="15" spans="1:4" ht="48" customHeight="1">
      <c r="A15" s="3" t="s">
        <v>70</v>
      </c>
      <c r="B15" s="12">
        <f>TOTAL_FERT_COST</f>
        <v>44000</v>
      </c>
      <c r="C15" s="3" t="s">
        <v>57</v>
      </c>
      <c r="D15" s="3" t="s">
        <v>71</v>
      </c>
    </row>
    <row r="16" spans="1:4" ht="36" customHeight="1">
      <c r="A16" s="3" t="s">
        <v>72</v>
      </c>
      <c r="B16" s="12">
        <f>TOTAL_VARIABLE_COST</f>
        <v>148118.3353165056</v>
      </c>
      <c r="C16" s="3" t="s">
        <v>57</v>
      </c>
      <c r="D16" s="3" t="s">
        <v>73</v>
      </c>
    </row>
    <row r="17" spans="1:4" ht="24" customHeight="1">
      <c r="A17" s="3" t="s">
        <v>74</v>
      </c>
      <c r="B17" s="12">
        <f>FIXED_COSTS</f>
        <v>20000</v>
      </c>
      <c r="C17" s="3" t="s">
        <v>57</v>
      </c>
      <c r="D17" s="3" t="s">
        <v>75</v>
      </c>
    </row>
    <row r="18" spans="1:4" ht="24" customHeight="1">
      <c r="A18" s="3" t="s">
        <v>76</v>
      </c>
      <c r="B18" s="12">
        <f>TOTAL_COST</f>
        <v>168118.3353165056</v>
      </c>
      <c r="C18" s="3" t="s">
        <v>57</v>
      </c>
      <c r="D18" s="3" t="s">
        <v>77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5"/>
  <sheetViews>
    <sheetView showGridLines="0" workbookViewId="0">
      <pane ySplit="3" topLeftCell="A4" activePane="bottomLeft" state="frozen"/>
      <selection pane="bottomLeft" sqref="A1:W1"/>
    </sheetView>
  </sheetViews>
  <sheetFormatPr baseColWidth="10" defaultColWidth="8.83203125" defaultRowHeight="14"/>
  <cols>
    <col min="1" max="4" width="16" customWidth="1"/>
    <col min="5" max="5" width="22" customWidth="1"/>
    <col min="6" max="7" width="16" customWidth="1"/>
    <col min="9" max="12" width="16" customWidth="1"/>
    <col min="13" max="13" width="22" customWidth="1"/>
    <col min="14" max="15" width="16" customWidth="1"/>
    <col min="17" max="20" width="16" customWidth="1"/>
    <col min="21" max="21" width="22" customWidth="1"/>
    <col min="22" max="23" width="16" customWidth="1"/>
  </cols>
  <sheetData>
    <row r="1" spans="1:23" ht="15" customHeight="1">
      <c r="A1" s="22" t="s">
        <v>78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" customHeight="1">
      <c r="A2" s="20" t="s">
        <v>79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15" customHeight="1">
      <c r="A3" s="23" t="s">
        <v>80</v>
      </c>
      <c r="B3" s="21"/>
      <c r="C3" s="21"/>
      <c r="D3" s="21"/>
      <c r="E3" s="21"/>
      <c r="F3" s="21"/>
      <c r="G3" s="21"/>
      <c r="H3" s="2"/>
      <c r="I3" s="23" t="s">
        <v>81</v>
      </c>
      <c r="J3" s="21"/>
      <c r="K3" s="21"/>
      <c r="L3" s="21"/>
      <c r="M3" s="21"/>
      <c r="N3" s="21"/>
      <c r="O3" s="21"/>
      <c r="P3" s="2"/>
      <c r="Q3" s="23" t="s">
        <v>82</v>
      </c>
      <c r="R3" s="21"/>
      <c r="S3" s="21"/>
      <c r="T3" s="21"/>
      <c r="U3" s="21"/>
      <c r="V3" s="21"/>
      <c r="W3" s="21"/>
    </row>
    <row r="4" spans="1:23" ht="36" customHeight="1">
      <c r="A4" s="1" t="s">
        <v>83</v>
      </c>
      <c r="B4" s="1" t="s">
        <v>84</v>
      </c>
      <c r="C4" s="1" t="s">
        <v>85</v>
      </c>
      <c r="D4" s="1" t="s">
        <v>86</v>
      </c>
      <c r="E4" s="1" t="s">
        <v>87</v>
      </c>
      <c r="F4" s="1" t="s">
        <v>88</v>
      </c>
      <c r="G4" s="1" t="s">
        <v>89</v>
      </c>
      <c r="H4" s="2"/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2"/>
      <c r="Q4" s="1" t="s">
        <v>83</v>
      </c>
      <c r="R4" s="1" t="s">
        <v>84</v>
      </c>
      <c r="S4" s="1" t="s">
        <v>85</v>
      </c>
      <c r="T4" s="1" t="s">
        <v>86</v>
      </c>
      <c r="U4" s="1" t="s">
        <v>87</v>
      </c>
      <c r="V4" s="1" t="s">
        <v>88</v>
      </c>
      <c r="W4" s="1" t="s">
        <v>89</v>
      </c>
    </row>
    <row r="5" spans="1:23" ht="15" customHeight="1">
      <c r="A5" s="3">
        <v>0</v>
      </c>
      <c r="B5" s="11">
        <f t="shared" ref="B5:B25" si="0">A5*TOM_HRS*SEASON_WEEKS*(1+TOM_DIM_PCT)^A5</f>
        <v>0</v>
      </c>
      <c r="C5" s="11">
        <f t="shared" ref="C5:C25" si="1">MIN(B5,FARMER_HOURS_AVAILABLE)</f>
        <v>0</v>
      </c>
      <c r="D5" s="11">
        <f t="shared" ref="D5:D25" si="2">MAX(B5-FARMER_HOURS_AVAILABLE,0)</f>
        <v>0</v>
      </c>
      <c r="E5" s="12">
        <f t="shared" ref="E5:E25" si="3">C5*FARMER_HOURLY_RATE+D5*TEMP_HOURLY_RATE+A5*TOM_FERT_COST</f>
        <v>0</v>
      </c>
      <c r="F5" s="12"/>
      <c r="G5" s="12">
        <f t="shared" ref="G5:G25" si="4">TOM_PRICE</f>
        <v>8800</v>
      </c>
      <c r="H5" s="2"/>
      <c r="I5" s="3">
        <v>0</v>
      </c>
      <c r="J5" s="11">
        <f t="shared" ref="J5:J25" si="5">I5*CAR_HRS*SEASON_WEEKS*(1+CAR_DIM_PCT)^I5</f>
        <v>0</v>
      </c>
      <c r="K5" s="11">
        <f t="shared" ref="K5:K25" si="6">MIN(J5,FARMER_HOURS_AVAILABLE)</f>
        <v>0</v>
      </c>
      <c r="L5" s="11">
        <f t="shared" ref="L5:L25" si="7">MAX(J5-FARMER_HOURS_AVAILABLE,0)</f>
        <v>0</v>
      </c>
      <c r="M5" s="12">
        <f t="shared" ref="M5:M25" si="8">K5*FARMER_HOURLY_RATE+L5*TEMP_HOURLY_RATE+I5*CAR_FERT_COST</f>
        <v>0</v>
      </c>
      <c r="N5" s="12"/>
      <c r="O5" s="12">
        <f t="shared" ref="O5:O25" si="9">CAR_PRICE</f>
        <v>2094</v>
      </c>
      <c r="P5" s="2"/>
      <c r="Q5" s="3">
        <v>0</v>
      </c>
      <c r="R5" s="11">
        <f t="shared" ref="R5:R35" si="10">Q5*MES_HRS*SEASON_WEEKS*(1+MES_DIM_PCT)^Q5</f>
        <v>0</v>
      </c>
      <c r="S5" s="11">
        <f t="shared" ref="S5:S35" si="11">MIN(R5,FARMER_HOURS_AVAILABLE)</f>
        <v>0</v>
      </c>
      <c r="T5" s="11">
        <f t="shared" ref="T5:T35" si="12">MAX(R5-FARMER_HOURS_AVAILABLE,0)</f>
        <v>0</v>
      </c>
      <c r="U5" s="12">
        <f t="shared" ref="U5:U35" si="13">S5*FARMER_HOURLY_RATE+T5*TEMP_HOURLY_RATE+Q5*MES_FERT_COST</f>
        <v>0</v>
      </c>
      <c r="V5" s="12"/>
      <c r="W5" s="12">
        <f t="shared" ref="W5:W35" si="14">MES_PRICE</f>
        <v>2700</v>
      </c>
    </row>
    <row r="6" spans="1:23" ht="15" customHeight="1">
      <c r="A6" s="3">
        <v>1</v>
      </c>
      <c r="B6" s="11">
        <f t="shared" si="0"/>
        <v>99.000000000000014</v>
      </c>
      <c r="C6" s="11">
        <f t="shared" si="1"/>
        <v>99.000000000000014</v>
      </c>
      <c r="D6" s="11">
        <f t="shared" si="2"/>
        <v>0</v>
      </c>
      <c r="E6" s="12">
        <f t="shared" si="3"/>
        <v>4317.4999999978008</v>
      </c>
      <c r="F6" s="12">
        <f t="shared" ref="F6:F25" si="15">E6-E5</f>
        <v>4317.4999999978008</v>
      </c>
      <c r="G6" s="12">
        <f t="shared" si="4"/>
        <v>8800</v>
      </c>
      <c r="H6" s="2"/>
      <c r="I6" s="3">
        <v>1</v>
      </c>
      <c r="J6" s="11">
        <f t="shared" si="5"/>
        <v>30.749999998769997</v>
      </c>
      <c r="K6" s="11">
        <f t="shared" si="6"/>
        <v>30.749999998769997</v>
      </c>
      <c r="L6" s="11">
        <f t="shared" si="7"/>
        <v>0</v>
      </c>
      <c r="M6" s="12">
        <f t="shared" si="8"/>
        <v>1507.7083332899417</v>
      </c>
      <c r="N6" s="12">
        <f t="shared" ref="N6:N25" si="16">M6-M5</f>
        <v>1507.7083332899417</v>
      </c>
      <c r="O6" s="12">
        <f t="shared" si="9"/>
        <v>2094</v>
      </c>
      <c r="P6" s="2"/>
      <c r="Q6" s="3">
        <v>1</v>
      </c>
      <c r="R6" s="11">
        <f t="shared" si="10"/>
        <v>45.5625</v>
      </c>
      <c r="S6" s="11">
        <f t="shared" si="11"/>
        <v>45.5625</v>
      </c>
      <c r="T6" s="11">
        <f t="shared" si="12"/>
        <v>0</v>
      </c>
      <c r="U6" s="12">
        <f t="shared" si="13"/>
        <v>2462.0312499989877</v>
      </c>
      <c r="V6" s="12">
        <f t="shared" ref="V6:V35" si="17">U6-U5</f>
        <v>2462.0312499989877</v>
      </c>
      <c r="W6" s="12">
        <f t="shared" si="14"/>
        <v>2700</v>
      </c>
    </row>
    <row r="7" spans="1:23" ht="15" customHeight="1">
      <c r="A7" s="3">
        <v>2</v>
      </c>
      <c r="B7" s="11">
        <f t="shared" si="0"/>
        <v>217.80000000000004</v>
      </c>
      <c r="C7" s="11">
        <f t="shared" si="1"/>
        <v>217.80000000000004</v>
      </c>
      <c r="D7" s="11">
        <f t="shared" si="2"/>
        <v>0</v>
      </c>
      <c r="E7" s="12">
        <f t="shared" si="3"/>
        <v>9322.4999999951615</v>
      </c>
      <c r="F7" s="12">
        <f t="shared" si="15"/>
        <v>5004.9999999973606</v>
      </c>
      <c r="G7" s="12">
        <f t="shared" si="4"/>
        <v>8800</v>
      </c>
      <c r="H7" s="2"/>
      <c r="I7" s="3">
        <v>2</v>
      </c>
      <c r="J7" s="11">
        <f t="shared" si="5"/>
        <v>63.037499997478498</v>
      </c>
      <c r="K7" s="11">
        <f t="shared" si="6"/>
        <v>63.037499997478498</v>
      </c>
      <c r="L7" s="11">
        <f t="shared" si="7"/>
        <v>0</v>
      </c>
      <c r="M7" s="12">
        <f t="shared" si="8"/>
        <v>3068.8020832443804</v>
      </c>
      <c r="N7" s="12">
        <f t="shared" si="16"/>
        <v>1561.0937499544386</v>
      </c>
      <c r="O7" s="12">
        <f t="shared" si="9"/>
        <v>2094</v>
      </c>
      <c r="P7" s="2"/>
      <c r="Q7" s="3">
        <v>2</v>
      </c>
      <c r="R7" s="11">
        <f t="shared" si="10"/>
        <v>92.264062499999994</v>
      </c>
      <c r="S7" s="11">
        <f t="shared" si="11"/>
        <v>92.264062499999994</v>
      </c>
      <c r="T7" s="11">
        <f t="shared" si="12"/>
        <v>0</v>
      </c>
      <c r="U7" s="12">
        <f t="shared" si="13"/>
        <v>4963.61328124795</v>
      </c>
      <c r="V7" s="12">
        <f t="shared" si="17"/>
        <v>2501.5820312489623</v>
      </c>
      <c r="W7" s="12">
        <f t="shared" si="14"/>
        <v>2700</v>
      </c>
    </row>
    <row r="8" spans="1:23" ht="15" customHeight="1">
      <c r="A8" s="3">
        <v>3</v>
      </c>
      <c r="B8" s="11">
        <f t="shared" si="0"/>
        <v>359.37000000000012</v>
      </c>
      <c r="C8" s="11">
        <f t="shared" si="1"/>
        <v>359.37000000000012</v>
      </c>
      <c r="D8" s="11">
        <f t="shared" si="2"/>
        <v>0</v>
      </c>
      <c r="E8" s="12">
        <f t="shared" si="3"/>
        <v>15118.124999992018</v>
      </c>
      <c r="F8" s="12">
        <f t="shared" si="15"/>
        <v>5795.6249999968568</v>
      </c>
      <c r="G8" s="12">
        <f t="shared" si="4"/>
        <v>8800</v>
      </c>
      <c r="H8" s="2"/>
      <c r="I8" s="3">
        <v>3</v>
      </c>
      <c r="J8" s="11">
        <f t="shared" si="5"/>
        <v>96.92015624612317</v>
      </c>
      <c r="K8" s="11">
        <f t="shared" si="6"/>
        <v>96.92015624612317</v>
      </c>
      <c r="L8" s="11">
        <f t="shared" si="7"/>
        <v>0</v>
      </c>
      <c r="M8" s="12">
        <f t="shared" si="8"/>
        <v>4685.2832029882338</v>
      </c>
      <c r="N8" s="12">
        <f t="shared" si="16"/>
        <v>1616.4811197438535</v>
      </c>
      <c r="O8" s="12">
        <f t="shared" si="9"/>
        <v>2094</v>
      </c>
      <c r="P8" s="2"/>
      <c r="Q8" s="3">
        <v>3</v>
      </c>
      <c r="R8" s="11">
        <f t="shared" si="10"/>
        <v>140.12604492187498</v>
      </c>
      <c r="S8" s="11">
        <f t="shared" si="11"/>
        <v>140.12604492187498</v>
      </c>
      <c r="T8" s="11">
        <f t="shared" si="12"/>
        <v>0</v>
      </c>
      <c r="U8" s="12">
        <f t="shared" si="13"/>
        <v>7505.4876708953234</v>
      </c>
      <c r="V8" s="12">
        <f t="shared" si="17"/>
        <v>2541.8743896473734</v>
      </c>
      <c r="W8" s="12">
        <f t="shared" si="14"/>
        <v>2700</v>
      </c>
    </row>
    <row r="9" spans="1:23" ht="15" customHeight="1">
      <c r="A9" s="3">
        <v>4</v>
      </c>
      <c r="B9" s="11">
        <f t="shared" si="0"/>
        <v>527.07600000000014</v>
      </c>
      <c r="C9" s="11">
        <f t="shared" si="1"/>
        <v>527.07600000000014</v>
      </c>
      <c r="D9" s="11">
        <f t="shared" si="2"/>
        <v>0</v>
      </c>
      <c r="E9" s="12">
        <f t="shared" si="3"/>
        <v>21821.249999988293</v>
      </c>
      <c r="F9" s="12">
        <f t="shared" si="15"/>
        <v>6703.1249999962747</v>
      </c>
      <c r="G9" s="12">
        <f t="shared" si="4"/>
        <v>8800</v>
      </c>
      <c r="H9" s="2"/>
      <c r="I9" s="3">
        <v>4</v>
      </c>
      <c r="J9" s="11">
        <f t="shared" si="5"/>
        <v>132.45754686970167</v>
      </c>
      <c r="K9" s="11">
        <f t="shared" si="6"/>
        <v>132.45754686970167</v>
      </c>
      <c r="L9" s="11">
        <f t="shared" si="7"/>
        <v>0</v>
      </c>
      <c r="M9" s="12">
        <f t="shared" si="8"/>
        <v>6359.220377417254</v>
      </c>
      <c r="N9" s="12">
        <f t="shared" si="16"/>
        <v>1673.9371744290202</v>
      </c>
      <c r="O9" s="12">
        <f t="shared" si="9"/>
        <v>2094</v>
      </c>
      <c r="P9" s="2"/>
      <c r="Q9" s="3">
        <v>4</v>
      </c>
      <c r="R9" s="11">
        <f t="shared" si="10"/>
        <v>189.17016064453125</v>
      </c>
      <c r="S9" s="11">
        <f t="shared" si="11"/>
        <v>189.17016064453125</v>
      </c>
      <c r="T9" s="11">
        <f t="shared" si="12"/>
        <v>0</v>
      </c>
      <c r="U9" s="12">
        <f t="shared" si="13"/>
        <v>10088.408355708687</v>
      </c>
      <c r="V9" s="12">
        <f t="shared" si="17"/>
        <v>2582.9206848133636</v>
      </c>
      <c r="W9" s="12">
        <f t="shared" si="14"/>
        <v>2700</v>
      </c>
    </row>
    <row r="10" spans="1:23" ht="15" customHeight="1">
      <c r="A10" s="3">
        <v>5</v>
      </c>
      <c r="B10" s="11">
        <f t="shared" si="0"/>
        <v>724.72950000000026</v>
      </c>
      <c r="C10" s="11">
        <f t="shared" si="1"/>
        <v>720</v>
      </c>
      <c r="D10" s="11">
        <f t="shared" si="2"/>
        <v>4.7295000000002574</v>
      </c>
      <c r="E10" s="12">
        <f t="shared" si="3"/>
        <v>29482.109374983953</v>
      </c>
      <c r="F10" s="12">
        <f t="shared" si="15"/>
        <v>7660.8593749956599</v>
      </c>
      <c r="G10" s="12">
        <f t="shared" si="4"/>
        <v>8800</v>
      </c>
      <c r="H10" s="2"/>
      <c r="I10" s="3">
        <v>5</v>
      </c>
      <c r="J10" s="11">
        <f t="shared" si="5"/>
        <v>169.71123192680525</v>
      </c>
      <c r="K10" s="11">
        <f t="shared" si="6"/>
        <v>169.71123192680525</v>
      </c>
      <c r="L10" s="11">
        <f t="shared" si="7"/>
        <v>0</v>
      </c>
      <c r="M10" s="12">
        <f t="shared" si="8"/>
        <v>8092.7511085658562</v>
      </c>
      <c r="N10" s="12">
        <f t="shared" si="16"/>
        <v>1733.5307311486022</v>
      </c>
      <c r="O10" s="12">
        <f t="shared" si="9"/>
        <v>2094</v>
      </c>
      <c r="P10" s="2"/>
      <c r="Q10" s="3">
        <v>5</v>
      </c>
      <c r="R10" s="11">
        <f t="shared" si="10"/>
        <v>239.41848456573481</v>
      </c>
      <c r="S10" s="11">
        <f t="shared" si="11"/>
        <v>239.41848456573481</v>
      </c>
      <c r="T10" s="11">
        <f t="shared" si="12"/>
        <v>0</v>
      </c>
      <c r="U10" s="12">
        <f t="shared" si="13"/>
        <v>12713.141825193807</v>
      </c>
      <c r="V10" s="12">
        <f t="shared" si="17"/>
        <v>2624.7334694851197</v>
      </c>
      <c r="W10" s="12">
        <f t="shared" si="14"/>
        <v>2700</v>
      </c>
    </row>
    <row r="11" spans="1:23" ht="15" customHeight="1">
      <c r="A11" s="3">
        <v>6</v>
      </c>
      <c r="B11" s="11">
        <f t="shared" si="0"/>
        <v>956.64294000000041</v>
      </c>
      <c r="C11" s="11">
        <f t="shared" si="1"/>
        <v>720</v>
      </c>
      <c r="D11" s="11">
        <f t="shared" si="2"/>
        <v>236.64294000000041</v>
      </c>
      <c r="E11" s="12">
        <f t="shared" si="3"/>
        <v>34388.384374981382</v>
      </c>
      <c r="F11" s="12">
        <f t="shared" si="15"/>
        <v>4906.2749999974294</v>
      </c>
      <c r="G11" s="12">
        <f t="shared" si="4"/>
        <v>8800</v>
      </c>
      <c r="H11" s="2"/>
      <c r="I11" s="3">
        <v>6</v>
      </c>
      <c r="J11" s="11">
        <f t="shared" si="5"/>
        <v>208.74481526997042</v>
      </c>
      <c r="K11" s="11">
        <f t="shared" si="6"/>
        <v>208.74481526997042</v>
      </c>
      <c r="L11" s="11">
        <f t="shared" si="7"/>
        <v>0</v>
      </c>
      <c r="M11" s="12">
        <f t="shared" si="8"/>
        <v>9888.0838635360014</v>
      </c>
      <c r="N11" s="12">
        <f t="shared" si="16"/>
        <v>1795.3327549701453</v>
      </c>
      <c r="O11" s="12">
        <f t="shared" si="9"/>
        <v>2094</v>
      </c>
      <c r="P11" s="2"/>
      <c r="Q11" s="3">
        <v>6</v>
      </c>
      <c r="R11" s="11">
        <f t="shared" si="10"/>
        <v>290.89345874736784</v>
      </c>
      <c r="S11" s="11">
        <f t="shared" si="11"/>
        <v>290.89345874736784</v>
      </c>
      <c r="T11" s="11">
        <f t="shared" si="12"/>
        <v>0</v>
      </c>
      <c r="U11" s="12">
        <f t="shared" si="13"/>
        <v>15380.467317610475</v>
      </c>
      <c r="V11" s="12">
        <f t="shared" si="17"/>
        <v>2667.3254924166686</v>
      </c>
      <c r="W11" s="12">
        <f t="shared" si="14"/>
        <v>2700</v>
      </c>
    </row>
    <row r="12" spans="1:23" ht="15" customHeight="1">
      <c r="A12" s="3">
        <v>7</v>
      </c>
      <c r="B12" s="11">
        <f t="shared" si="0"/>
        <v>1227.6917730000007</v>
      </c>
      <c r="C12" s="11">
        <f t="shared" si="1"/>
        <v>720</v>
      </c>
      <c r="D12" s="11">
        <f t="shared" si="2"/>
        <v>507.69177300000069</v>
      </c>
      <c r="E12" s="12">
        <f t="shared" si="3"/>
        <v>39974.093281228372</v>
      </c>
      <c r="F12" s="12">
        <f t="shared" si="15"/>
        <v>5585.7089062469895</v>
      </c>
      <c r="G12" s="12">
        <f t="shared" si="4"/>
        <v>8800</v>
      </c>
      <c r="H12" s="2"/>
      <c r="I12" s="3">
        <v>7</v>
      </c>
      <c r="J12" s="11">
        <f t="shared" si="5"/>
        <v>249.62400826033968</v>
      </c>
      <c r="K12" s="11">
        <f t="shared" si="6"/>
        <v>249.62400826033968</v>
      </c>
      <c r="L12" s="11">
        <f t="shared" si="7"/>
        <v>0</v>
      </c>
      <c r="M12" s="12">
        <f t="shared" si="8"/>
        <v>11747.500286811803</v>
      </c>
      <c r="N12" s="12">
        <f t="shared" si="16"/>
        <v>1859.4164232758012</v>
      </c>
      <c r="O12" s="12">
        <f t="shared" si="9"/>
        <v>2094</v>
      </c>
      <c r="P12" s="2"/>
      <c r="Q12" s="3">
        <v>7</v>
      </c>
      <c r="R12" s="11">
        <f t="shared" si="10"/>
        <v>343.61789814532818</v>
      </c>
      <c r="S12" s="11">
        <f t="shared" si="11"/>
        <v>343.61789814532818</v>
      </c>
      <c r="T12" s="11">
        <f t="shared" si="12"/>
        <v>0</v>
      </c>
      <c r="U12" s="12">
        <f t="shared" si="13"/>
        <v>18091.177018927374</v>
      </c>
      <c r="V12" s="12">
        <f t="shared" si="17"/>
        <v>2710.7097013168986</v>
      </c>
      <c r="W12" s="12">
        <f t="shared" si="14"/>
        <v>2700</v>
      </c>
    </row>
    <row r="13" spans="1:23" ht="15" customHeight="1">
      <c r="A13" s="3">
        <v>8</v>
      </c>
      <c r="B13" s="11">
        <f t="shared" si="0"/>
        <v>1543.3839432000009</v>
      </c>
      <c r="C13" s="11">
        <f t="shared" si="1"/>
        <v>720</v>
      </c>
      <c r="D13" s="11">
        <f t="shared" si="2"/>
        <v>823.38394320000089</v>
      </c>
      <c r="E13" s="12">
        <f t="shared" si="3"/>
        <v>46334.860124974868</v>
      </c>
      <c r="F13" s="12">
        <f t="shared" si="15"/>
        <v>6360.7668437464963</v>
      </c>
      <c r="G13" s="12">
        <f t="shared" si="4"/>
        <v>8800</v>
      </c>
      <c r="H13" s="2"/>
      <c r="I13" s="3">
        <v>8</v>
      </c>
      <c r="J13" s="11">
        <f t="shared" si="5"/>
        <v>292.41669539068357</v>
      </c>
      <c r="K13" s="11">
        <f t="shared" si="6"/>
        <v>292.41669539068357</v>
      </c>
      <c r="L13" s="11">
        <f t="shared" si="7"/>
        <v>0</v>
      </c>
      <c r="M13" s="12">
        <f t="shared" si="8"/>
        <v>13673.357478836682</v>
      </c>
      <c r="N13" s="12">
        <f t="shared" si="16"/>
        <v>1925.8571920248796</v>
      </c>
      <c r="O13" s="12">
        <f t="shared" si="9"/>
        <v>2094</v>
      </c>
      <c r="P13" s="2"/>
      <c r="Q13" s="3">
        <v>8</v>
      </c>
      <c r="R13" s="11">
        <f t="shared" si="10"/>
        <v>397.61499642530839</v>
      </c>
      <c r="S13" s="11">
        <f t="shared" si="11"/>
        <v>397.61499642530839</v>
      </c>
      <c r="T13" s="11">
        <f t="shared" si="12"/>
        <v>0</v>
      </c>
      <c r="U13" s="12">
        <f t="shared" si="13"/>
        <v>20846.07626475882</v>
      </c>
      <c r="V13" s="12">
        <f t="shared" si="17"/>
        <v>2754.899245831446</v>
      </c>
      <c r="W13" s="12">
        <f t="shared" si="14"/>
        <v>2700</v>
      </c>
    </row>
    <row r="14" spans="1:23" ht="15" customHeight="1">
      <c r="A14" s="3">
        <v>9</v>
      </c>
      <c r="B14" s="11">
        <f t="shared" si="0"/>
        <v>1909.9376297100011</v>
      </c>
      <c r="C14" s="11">
        <f t="shared" si="1"/>
        <v>720</v>
      </c>
      <c r="D14" s="11">
        <f t="shared" si="2"/>
        <v>1189.9376297100011</v>
      </c>
      <c r="E14" s="12">
        <f t="shared" si="3"/>
        <v>53578.639404658301</v>
      </c>
      <c r="F14" s="12">
        <f t="shared" si="15"/>
        <v>7243.7792796834328</v>
      </c>
      <c r="G14" s="12">
        <f t="shared" si="4"/>
        <v>8800</v>
      </c>
      <c r="H14" s="2"/>
      <c r="I14" s="3">
        <v>9</v>
      </c>
      <c r="J14" s="11">
        <f t="shared" si="5"/>
        <v>337.1930018723819</v>
      </c>
      <c r="K14" s="11">
        <f t="shared" si="6"/>
        <v>337.1930018723819</v>
      </c>
      <c r="L14" s="11">
        <f t="shared" si="7"/>
        <v>0</v>
      </c>
      <c r="M14" s="12">
        <f t="shared" si="8"/>
        <v>15668.090342783546</v>
      </c>
      <c r="N14" s="12">
        <f t="shared" si="16"/>
        <v>1994.7328639468633</v>
      </c>
      <c r="O14" s="12">
        <f t="shared" si="9"/>
        <v>2094</v>
      </c>
      <c r="P14" s="2"/>
      <c r="Q14" s="3">
        <v>9</v>
      </c>
      <c r="R14" s="11">
        <f t="shared" si="10"/>
        <v>452.90833186570285</v>
      </c>
      <c r="S14" s="11">
        <f t="shared" si="11"/>
        <v>452.90833186570285</v>
      </c>
      <c r="T14" s="11">
        <f t="shared" si="12"/>
        <v>0</v>
      </c>
      <c r="U14" s="12">
        <f t="shared" si="13"/>
        <v>23645.983745326841</v>
      </c>
      <c r="V14" s="12">
        <f t="shared" si="17"/>
        <v>2799.9074805680211</v>
      </c>
      <c r="W14" s="12">
        <f t="shared" si="14"/>
        <v>2700</v>
      </c>
    </row>
    <row r="15" spans="1:23" ht="15" customHeight="1">
      <c r="A15" s="3">
        <v>10</v>
      </c>
      <c r="B15" s="11">
        <f t="shared" si="0"/>
        <v>2334.3682140900019</v>
      </c>
      <c r="C15" s="11">
        <f t="shared" si="1"/>
        <v>720</v>
      </c>
      <c r="D15" s="11">
        <f t="shared" si="2"/>
        <v>1614.3682140900019</v>
      </c>
      <c r="E15" s="12">
        <f t="shared" si="3"/>
        <v>61827.225939028598</v>
      </c>
      <c r="F15" s="12">
        <f t="shared" si="15"/>
        <v>8248.5865343702972</v>
      </c>
      <c r="G15" s="12">
        <f t="shared" si="4"/>
        <v>8800</v>
      </c>
      <c r="H15" s="2"/>
      <c r="I15" s="3">
        <v>10</v>
      </c>
      <c r="J15" s="11">
        <f t="shared" si="5"/>
        <v>384.02536324354611</v>
      </c>
      <c r="K15" s="11">
        <f t="shared" si="6"/>
        <v>384.02536324354611</v>
      </c>
      <c r="L15" s="11">
        <f t="shared" si="7"/>
        <v>0</v>
      </c>
      <c r="M15" s="12">
        <f t="shared" si="8"/>
        <v>17734.214001503486</v>
      </c>
      <c r="N15" s="12">
        <f t="shared" si="16"/>
        <v>2066.1236587199401</v>
      </c>
      <c r="O15" s="12">
        <f t="shared" si="9"/>
        <v>2094</v>
      </c>
      <c r="P15" s="2"/>
      <c r="Q15" s="3">
        <v>10</v>
      </c>
      <c r="R15" s="11">
        <f t="shared" si="10"/>
        <v>509.52187334891573</v>
      </c>
      <c r="S15" s="11">
        <f t="shared" si="11"/>
        <v>509.52187334891573</v>
      </c>
      <c r="T15" s="11">
        <f t="shared" si="12"/>
        <v>0</v>
      </c>
      <c r="U15" s="12">
        <f t="shared" si="13"/>
        <v>26491.731713492696</v>
      </c>
      <c r="V15" s="12">
        <f t="shared" si="17"/>
        <v>2845.7479681658551</v>
      </c>
      <c r="W15" s="12">
        <f t="shared" si="14"/>
        <v>2700</v>
      </c>
    </row>
    <row r="16" spans="1:23" ht="15" customHeight="1">
      <c r="A16" s="3">
        <v>11</v>
      </c>
      <c r="B16" s="11">
        <f t="shared" si="0"/>
        <v>2824.5855390489023</v>
      </c>
      <c r="C16" s="11">
        <f t="shared" si="1"/>
        <v>720</v>
      </c>
      <c r="D16" s="11">
        <f t="shared" si="2"/>
        <v>2104.5855390489023</v>
      </c>
      <c r="E16" s="12">
        <f t="shared" si="3"/>
        <v>71217.943386226281</v>
      </c>
      <c r="F16" s="12">
        <f t="shared" si="15"/>
        <v>9390.7174471976832</v>
      </c>
      <c r="G16" s="12">
        <f t="shared" si="4"/>
        <v>8800</v>
      </c>
      <c r="H16" s="2"/>
      <c r="I16" s="3">
        <v>11</v>
      </c>
      <c r="J16" s="11">
        <f t="shared" si="5"/>
        <v>432.98859705709827</v>
      </c>
      <c r="K16" s="11">
        <f t="shared" si="6"/>
        <v>432.98859705709827</v>
      </c>
      <c r="L16" s="11">
        <f t="shared" si="7"/>
        <v>0</v>
      </c>
      <c r="M16" s="12">
        <f t="shared" si="8"/>
        <v>19874.326286695181</v>
      </c>
      <c r="N16" s="12">
        <f t="shared" si="16"/>
        <v>2140.1122851916953</v>
      </c>
      <c r="O16" s="12">
        <f t="shared" si="9"/>
        <v>2094</v>
      </c>
      <c r="P16" s="2"/>
      <c r="Q16" s="3">
        <v>11</v>
      </c>
      <c r="R16" s="11">
        <f t="shared" si="10"/>
        <v>567.47998644235474</v>
      </c>
      <c r="S16" s="11">
        <f t="shared" si="11"/>
        <v>567.47998644235474</v>
      </c>
      <c r="T16" s="11">
        <f t="shared" si="12"/>
        <v>0</v>
      </c>
      <c r="U16" s="12">
        <f t="shared" si="13"/>
        <v>29384.166195902486</v>
      </c>
      <c r="V16" s="12">
        <f t="shared" si="17"/>
        <v>2892.4344824097898</v>
      </c>
      <c r="W16" s="12">
        <f t="shared" si="14"/>
        <v>2700</v>
      </c>
    </row>
    <row r="17" spans="1:23" ht="15" customHeight="1">
      <c r="A17" s="3">
        <v>12</v>
      </c>
      <c r="B17" s="11">
        <f t="shared" si="0"/>
        <v>3389.502646858683</v>
      </c>
      <c r="C17" s="11">
        <f t="shared" si="1"/>
        <v>720</v>
      </c>
      <c r="D17" s="11">
        <f t="shared" si="2"/>
        <v>2669.502646858683</v>
      </c>
      <c r="E17" s="12">
        <f t="shared" si="3"/>
        <v>81905.532063473147</v>
      </c>
      <c r="F17" s="12">
        <f t="shared" si="15"/>
        <v>10687.588677246866</v>
      </c>
      <c r="G17" s="12">
        <f t="shared" si="4"/>
        <v>8800</v>
      </c>
      <c r="H17" s="2"/>
      <c r="I17" s="3">
        <v>12</v>
      </c>
      <c r="J17" s="11">
        <f t="shared" si="5"/>
        <v>484.15997670930068</v>
      </c>
      <c r="K17" s="11">
        <f t="shared" si="6"/>
        <v>484.15997670930068</v>
      </c>
      <c r="L17" s="11">
        <f t="shared" si="7"/>
        <v>0</v>
      </c>
      <c r="M17" s="12">
        <f t="shared" si="8"/>
        <v>22091.110302395515</v>
      </c>
      <c r="N17" s="12">
        <f t="shared" si="16"/>
        <v>2216.7840157003338</v>
      </c>
      <c r="O17" s="12">
        <f t="shared" si="9"/>
        <v>2094</v>
      </c>
      <c r="P17" s="2"/>
      <c r="Q17" s="3">
        <v>12</v>
      </c>
      <c r="R17" s="11">
        <f t="shared" si="10"/>
        <v>626.80743957041921</v>
      </c>
      <c r="S17" s="11">
        <f t="shared" si="11"/>
        <v>626.80743957041921</v>
      </c>
      <c r="T17" s="11">
        <f t="shared" si="12"/>
        <v>0</v>
      </c>
      <c r="U17" s="12">
        <f t="shared" si="13"/>
        <v>32324.147207292295</v>
      </c>
      <c r="V17" s="12">
        <f t="shared" si="17"/>
        <v>2939.9810113898093</v>
      </c>
      <c r="W17" s="12">
        <f t="shared" si="14"/>
        <v>2700</v>
      </c>
    </row>
    <row r="18" spans="1:23" ht="15" customHeight="1">
      <c r="A18" s="3">
        <v>13</v>
      </c>
      <c r="B18" s="11">
        <f t="shared" si="0"/>
        <v>4039.1573208399304</v>
      </c>
      <c r="C18" s="11">
        <f t="shared" si="1"/>
        <v>720</v>
      </c>
      <c r="D18" s="11">
        <f t="shared" si="2"/>
        <v>3319.1573208399304</v>
      </c>
      <c r="E18" s="12">
        <f t="shared" si="3"/>
        <v>94064.259042307036</v>
      </c>
      <c r="F18" s="12">
        <f t="shared" si="15"/>
        <v>12158.726978833889</v>
      </c>
      <c r="G18" s="12">
        <f t="shared" si="4"/>
        <v>8800</v>
      </c>
      <c r="H18" s="2"/>
      <c r="I18" s="3">
        <v>13</v>
      </c>
      <c r="J18" s="11">
        <f t="shared" si="5"/>
        <v>537.61930747095266</v>
      </c>
      <c r="K18" s="11">
        <f t="shared" si="6"/>
        <v>537.61930747095266</v>
      </c>
      <c r="L18" s="11">
        <f t="shared" si="7"/>
        <v>0</v>
      </c>
      <c r="M18" s="12">
        <f t="shared" si="8"/>
        <v>24387.337064951687</v>
      </c>
      <c r="N18" s="12">
        <f t="shared" si="16"/>
        <v>2296.2267625561726</v>
      </c>
      <c r="O18" s="12">
        <f t="shared" si="9"/>
        <v>2094</v>
      </c>
      <c r="P18" s="2"/>
      <c r="Q18" s="3">
        <v>13</v>
      </c>
      <c r="R18" s="11">
        <f t="shared" si="10"/>
        <v>687.52941027880343</v>
      </c>
      <c r="S18" s="11">
        <f t="shared" si="11"/>
        <v>687.52941027880343</v>
      </c>
      <c r="T18" s="11">
        <f t="shared" si="12"/>
        <v>0</v>
      </c>
      <c r="U18" s="12">
        <f t="shared" si="13"/>
        <v>35312.548967998729</v>
      </c>
      <c r="V18" s="12">
        <f t="shared" si="17"/>
        <v>2988.4017607064343</v>
      </c>
      <c r="W18" s="12">
        <f t="shared" si="14"/>
        <v>2700</v>
      </c>
    </row>
    <row r="19" spans="1:23" ht="15" customHeight="1">
      <c r="A19" s="3">
        <v>14</v>
      </c>
      <c r="B19" s="11">
        <f t="shared" si="0"/>
        <v>4784.8479031488414</v>
      </c>
      <c r="C19" s="11">
        <f t="shared" si="1"/>
        <v>720</v>
      </c>
      <c r="D19" s="11">
        <f t="shared" si="2"/>
        <v>4064.8479031488414</v>
      </c>
      <c r="E19" s="12">
        <f t="shared" si="3"/>
        <v>107890.27609627289</v>
      </c>
      <c r="F19" s="12">
        <f t="shared" si="15"/>
        <v>13826.017053965857</v>
      </c>
      <c r="G19" s="12">
        <f t="shared" si="4"/>
        <v>8800</v>
      </c>
      <c r="H19" s="2"/>
      <c r="I19" s="3">
        <v>14</v>
      </c>
      <c r="J19" s="11">
        <f t="shared" si="5"/>
        <v>593.44900478524391</v>
      </c>
      <c r="K19" s="11">
        <f t="shared" si="6"/>
        <v>593.44900478524391</v>
      </c>
      <c r="L19" s="11">
        <f t="shared" si="7"/>
        <v>0</v>
      </c>
      <c r="M19" s="12">
        <f t="shared" si="8"/>
        <v>26765.868221696674</v>
      </c>
      <c r="N19" s="12">
        <f t="shared" si="16"/>
        <v>2378.5311567449862</v>
      </c>
      <c r="O19" s="12">
        <f t="shared" si="9"/>
        <v>2094</v>
      </c>
      <c r="P19" s="2"/>
      <c r="Q19" s="3">
        <v>14</v>
      </c>
      <c r="R19" s="11">
        <f t="shared" si="10"/>
        <v>749.67149159246469</v>
      </c>
      <c r="S19" s="11">
        <f t="shared" si="11"/>
        <v>720</v>
      </c>
      <c r="T19" s="11">
        <f t="shared" si="12"/>
        <v>29.67149159246469</v>
      </c>
      <c r="U19" s="12">
        <f t="shared" si="13"/>
        <v>37835.130062352851</v>
      </c>
      <c r="V19" s="12">
        <f t="shared" si="17"/>
        <v>2522.5810943541219</v>
      </c>
      <c r="W19" s="12">
        <f t="shared" si="14"/>
        <v>2700</v>
      </c>
    </row>
    <row r="20" spans="1:23" ht="15" customHeight="1">
      <c r="A20" s="3">
        <v>15</v>
      </c>
      <c r="B20" s="11">
        <f t="shared" si="0"/>
        <v>5639.2850287111351</v>
      </c>
      <c r="C20" s="11">
        <f t="shared" si="1"/>
        <v>720</v>
      </c>
      <c r="D20" s="11">
        <f t="shared" si="2"/>
        <v>4919.2850287111351</v>
      </c>
      <c r="E20" s="12">
        <f t="shared" si="3"/>
        <v>123604.25397060878</v>
      </c>
      <c r="F20" s="12">
        <f t="shared" si="15"/>
        <v>15713.977874335891</v>
      </c>
      <c r="G20" s="12">
        <f t="shared" si="4"/>
        <v>8800</v>
      </c>
      <c r="H20" s="2"/>
      <c r="I20" s="3">
        <v>15</v>
      </c>
      <c r="J20" s="11">
        <f t="shared" si="5"/>
        <v>651.73417489808037</v>
      </c>
      <c r="K20" s="11">
        <f t="shared" si="6"/>
        <v>651.73417489808037</v>
      </c>
      <c r="L20" s="11">
        <f t="shared" si="7"/>
        <v>0</v>
      </c>
      <c r="M20" s="12">
        <f t="shared" si="8"/>
        <v>29229.658850613308</v>
      </c>
      <c r="N20" s="12">
        <f t="shared" si="16"/>
        <v>2463.7906289166349</v>
      </c>
      <c r="O20" s="12">
        <f t="shared" si="9"/>
        <v>2094</v>
      </c>
      <c r="P20" s="2"/>
      <c r="Q20" s="3">
        <v>15</v>
      </c>
      <c r="R20" s="11">
        <f t="shared" si="10"/>
        <v>813.25969846861108</v>
      </c>
      <c r="S20" s="11">
        <f t="shared" si="11"/>
        <v>720</v>
      </c>
      <c r="T20" s="11">
        <f t="shared" si="12"/>
        <v>93.259698468611077</v>
      </c>
      <c r="U20" s="12">
        <f t="shared" si="13"/>
        <v>39819.091987285239</v>
      </c>
      <c r="V20" s="12">
        <f t="shared" si="17"/>
        <v>1983.9619249323878</v>
      </c>
      <c r="W20" s="12">
        <f t="shared" si="14"/>
        <v>2700</v>
      </c>
    </row>
    <row r="21" spans="1:23" ht="15" customHeight="1">
      <c r="A21" s="3">
        <v>16</v>
      </c>
      <c r="B21" s="11">
        <f t="shared" si="0"/>
        <v>6616.761100354398</v>
      </c>
      <c r="C21" s="11">
        <f t="shared" si="1"/>
        <v>720</v>
      </c>
      <c r="D21" s="11">
        <f t="shared" si="2"/>
        <v>5896.761100354398</v>
      </c>
      <c r="E21" s="12">
        <f t="shared" si="3"/>
        <v>141454.32465884901</v>
      </c>
      <c r="F21" s="12">
        <f t="shared" si="15"/>
        <v>17850.07068824023</v>
      </c>
      <c r="G21" s="12">
        <f t="shared" si="4"/>
        <v>8800</v>
      </c>
      <c r="H21" s="2"/>
      <c r="I21" s="3">
        <v>16</v>
      </c>
      <c r="J21" s="11">
        <f t="shared" si="5"/>
        <v>712.56269788856775</v>
      </c>
      <c r="K21" s="11">
        <f t="shared" si="6"/>
        <v>712.56269788856775</v>
      </c>
      <c r="L21" s="11">
        <f t="shared" si="7"/>
        <v>0</v>
      </c>
      <c r="M21" s="12">
        <f t="shared" si="8"/>
        <v>31781.760343337213</v>
      </c>
      <c r="N21" s="12">
        <f t="shared" si="16"/>
        <v>2552.1014927239048</v>
      </c>
      <c r="O21" s="12">
        <f t="shared" si="9"/>
        <v>2094</v>
      </c>
      <c r="P21" s="2"/>
      <c r="Q21" s="3">
        <v>16</v>
      </c>
      <c r="R21" s="11">
        <f t="shared" si="10"/>
        <v>878.32047434610013</v>
      </c>
      <c r="S21" s="11">
        <f t="shared" si="11"/>
        <v>720</v>
      </c>
      <c r="T21" s="11">
        <f t="shared" si="12"/>
        <v>158.32047434610013</v>
      </c>
      <c r="U21" s="12">
        <f t="shared" si="13"/>
        <v>41828.619346268701</v>
      </c>
      <c r="V21" s="12">
        <f t="shared" si="17"/>
        <v>2009.5273589834615</v>
      </c>
      <c r="W21" s="12">
        <f t="shared" si="14"/>
        <v>2700</v>
      </c>
    </row>
    <row r="22" spans="1:23" ht="15" customHeight="1">
      <c r="A22" s="3">
        <v>17</v>
      </c>
      <c r="B22" s="11">
        <f t="shared" si="0"/>
        <v>7733.3395360392033</v>
      </c>
      <c r="C22" s="11">
        <f t="shared" si="1"/>
        <v>720</v>
      </c>
      <c r="D22" s="11">
        <f t="shared" si="2"/>
        <v>7013.3395360392033</v>
      </c>
      <c r="E22" s="12">
        <f t="shared" si="3"/>
        <v>161719.36694503113</v>
      </c>
      <c r="F22" s="12">
        <f t="shared" si="15"/>
        <v>20265.042286182113</v>
      </c>
      <c r="G22" s="12">
        <f t="shared" si="4"/>
        <v>8800</v>
      </c>
      <c r="H22" s="2"/>
      <c r="I22" s="3">
        <v>17</v>
      </c>
      <c r="J22" s="11">
        <f t="shared" si="5"/>
        <v>776.02531316926832</v>
      </c>
      <c r="K22" s="11">
        <f t="shared" si="6"/>
        <v>720</v>
      </c>
      <c r="L22" s="11">
        <f t="shared" si="7"/>
        <v>56.025313169268316</v>
      </c>
      <c r="M22" s="12">
        <f t="shared" si="8"/>
        <v>33452.661686949839</v>
      </c>
      <c r="N22" s="12">
        <f t="shared" si="16"/>
        <v>1670.9013436126261</v>
      </c>
      <c r="O22" s="12">
        <f t="shared" si="9"/>
        <v>2094</v>
      </c>
      <c r="P22" s="2"/>
      <c r="Q22" s="3">
        <v>17</v>
      </c>
      <c r="R22" s="11">
        <f t="shared" si="10"/>
        <v>944.88069779264049</v>
      </c>
      <c r="S22" s="11">
        <f t="shared" si="11"/>
        <v>720</v>
      </c>
      <c r="T22" s="11">
        <f t="shared" si="12"/>
        <v>224.88069779264049</v>
      </c>
      <c r="U22" s="12">
        <f t="shared" si="13"/>
        <v>43864.178781103736</v>
      </c>
      <c r="V22" s="12">
        <f t="shared" si="17"/>
        <v>2035.5594348350351</v>
      </c>
      <c r="W22" s="12">
        <f t="shared" si="14"/>
        <v>2700</v>
      </c>
    </row>
    <row r="23" spans="1:23" ht="15" customHeight="1">
      <c r="A23" s="3">
        <v>18</v>
      </c>
      <c r="B23" s="11">
        <f t="shared" si="0"/>
        <v>9007.0660478574246</v>
      </c>
      <c r="C23" s="11">
        <f t="shared" si="1"/>
        <v>720</v>
      </c>
      <c r="D23" s="11">
        <f t="shared" si="2"/>
        <v>8287.0660478574246</v>
      </c>
      <c r="E23" s="12">
        <f t="shared" si="3"/>
        <v>184712.67444186111</v>
      </c>
      <c r="F23" s="12">
        <f t="shared" si="15"/>
        <v>22993.307496829977</v>
      </c>
      <c r="G23" s="12">
        <f t="shared" si="4"/>
        <v>8800</v>
      </c>
      <c r="H23" s="2"/>
      <c r="I23" s="3">
        <v>18</v>
      </c>
      <c r="J23" s="11">
        <f t="shared" si="5"/>
        <v>842.2157075278235</v>
      </c>
      <c r="K23" s="11">
        <f t="shared" si="6"/>
        <v>720</v>
      </c>
      <c r="L23" s="11">
        <f t="shared" si="7"/>
        <v>122.2157075278235</v>
      </c>
      <c r="M23" s="12">
        <f t="shared" si="8"/>
        <v>35041.80047789625</v>
      </c>
      <c r="N23" s="12">
        <f t="shared" si="16"/>
        <v>1589.1387909464102</v>
      </c>
      <c r="O23" s="12">
        <f t="shared" si="9"/>
        <v>2094</v>
      </c>
      <c r="P23" s="2"/>
      <c r="Q23" s="3">
        <v>18</v>
      </c>
      <c r="R23" s="11">
        <f t="shared" si="10"/>
        <v>1012.9676892512279</v>
      </c>
      <c r="S23" s="11">
        <f t="shared" si="11"/>
        <v>720</v>
      </c>
      <c r="T23" s="11">
        <f t="shared" si="12"/>
        <v>292.96768925122785</v>
      </c>
      <c r="U23" s="12">
        <f t="shared" si="13"/>
        <v>45926.244605036787</v>
      </c>
      <c r="V23" s="12">
        <f t="shared" si="17"/>
        <v>2062.0658239330514</v>
      </c>
      <c r="W23" s="12">
        <f t="shared" si="14"/>
        <v>2700</v>
      </c>
    </row>
    <row r="24" spans="1:23" ht="15" customHeight="1">
      <c r="A24" s="3">
        <v>19</v>
      </c>
      <c r="B24" s="11">
        <f t="shared" si="0"/>
        <v>10458.204466678902</v>
      </c>
      <c r="C24" s="11">
        <f t="shared" si="1"/>
        <v>720</v>
      </c>
      <c r="D24" s="11">
        <f t="shared" si="2"/>
        <v>9738.2044666789025</v>
      </c>
      <c r="E24" s="12">
        <f t="shared" si="3"/>
        <v>210786.04976860675</v>
      </c>
      <c r="F24" s="12">
        <f t="shared" si="15"/>
        <v>26073.375326745649</v>
      </c>
      <c r="G24" s="12">
        <f t="shared" si="4"/>
        <v>8800</v>
      </c>
      <c r="H24" s="2"/>
      <c r="I24" s="3">
        <v>19</v>
      </c>
      <c r="J24" s="11">
        <f t="shared" si="5"/>
        <v>911.2306057835757</v>
      </c>
      <c r="K24" s="11">
        <f t="shared" si="6"/>
        <v>720</v>
      </c>
      <c r="L24" s="11">
        <f t="shared" si="7"/>
        <v>191.2306057835757</v>
      </c>
      <c r="M24" s="12">
        <f t="shared" si="8"/>
        <v>36679.97579483562</v>
      </c>
      <c r="N24" s="12">
        <f t="shared" si="16"/>
        <v>1638.1753169393705</v>
      </c>
      <c r="O24" s="12">
        <f t="shared" si="9"/>
        <v>2094</v>
      </c>
      <c r="P24" s="2"/>
      <c r="Q24" s="3">
        <v>19</v>
      </c>
      <c r="R24" s="11">
        <f t="shared" si="10"/>
        <v>1082.6092178872495</v>
      </c>
      <c r="S24" s="11">
        <f t="shared" si="11"/>
        <v>720</v>
      </c>
      <c r="T24" s="11">
        <f t="shared" si="12"/>
        <v>362.60921788724954</v>
      </c>
      <c r="U24" s="12">
        <f t="shared" si="13"/>
        <v>48015.298921633614</v>
      </c>
      <c r="V24" s="12">
        <f t="shared" si="17"/>
        <v>2089.0543165968265</v>
      </c>
      <c r="W24" s="12">
        <f t="shared" si="14"/>
        <v>2700</v>
      </c>
    </row>
    <row r="25" spans="1:23" ht="15" customHeight="1">
      <c r="A25" s="3">
        <v>20</v>
      </c>
      <c r="B25" s="11">
        <f t="shared" si="0"/>
        <v>12109.499908786096</v>
      </c>
      <c r="C25" s="11">
        <f t="shared" si="1"/>
        <v>720</v>
      </c>
      <c r="D25" s="11">
        <f t="shared" si="2"/>
        <v>11389.499908786096</v>
      </c>
      <c r="E25" s="12">
        <f t="shared" si="3"/>
        <v>240334.37341628273</v>
      </c>
      <c r="F25" s="12">
        <f t="shared" si="15"/>
        <v>29548.323647675978</v>
      </c>
      <c r="G25" s="12">
        <f t="shared" si="4"/>
        <v>8800</v>
      </c>
      <c r="H25" s="2"/>
      <c r="I25" s="3">
        <v>20</v>
      </c>
      <c r="J25" s="11">
        <f t="shared" si="5"/>
        <v>983.16986413491054</v>
      </c>
      <c r="K25" s="11">
        <f t="shared" si="6"/>
        <v>720</v>
      </c>
      <c r="L25" s="11">
        <f t="shared" si="7"/>
        <v>263.16986413491054</v>
      </c>
      <c r="M25" s="12">
        <f t="shared" si="8"/>
        <v>38368.921252323271</v>
      </c>
      <c r="N25" s="12">
        <f t="shared" si="16"/>
        <v>1688.9454574876509</v>
      </c>
      <c r="O25" s="12">
        <f t="shared" si="9"/>
        <v>2094</v>
      </c>
      <c r="P25" s="2"/>
      <c r="Q25" s="3">
        <v>20</v>
      </c>
      <c r="R25" s="11">
        <f t="shared" si="10"/>
        <v>1153.8335085377266</v>
      </c>
      <c r="S25" s="11">
        <f t="shared" si="11"/>
        <v>720</v>
      </c>
      <c r="T25" s="11">
        <f t="shared" si="12"/>
        <v>433.83350853772663</v>
      </c>
      <c r="U25" s="12">
        <f t="shared" si="13"/>
        <v>50131.831745425821</v>
      </c>
      <c r="V25" s="12">
        <f t="shared" si="17"/>
        <v>2116.5328237922076</v>
      </c>
      <c r="W25" s="12">
        <f t="shared" si="14"/>
        <v>2700</v>
      </c>
    </row>
    <row r="26" spans="1:23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>
        <v>21</v>
      </c>
      <c r="R26" s="11">
        <f t="shared" si="10"/>
        <v>1226.6692487641703</v>
      </c>
      <c r="S26" s="11">
        <f t="shared" si="11"/>
        <v>720</v>
      </c>
      <c r="T26" s="11">
        <f t="shared" si="12"/>
        <v>506.66924876417033</v>
      </c>
      <c r="U26" s="12">
        <f t="shared" si="13"/>
        <v>52276.341124356331</v>
      </c>
      <c r="V26" s="12">
        <f t="shared" si="17"/>
        <v>2144.5093789305101</v>
      </c>
      <c r="W26" s="12">
        <f t="shared" si="14"/>
        <v>2700</v>
      </c>
    </row>
    <row r="27" spans="1:23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>
        <v>22</v>
      </c>
      <c r="R27" s="11">
        <f t="shared" si="10"/>
        <v>1301.1455960105666</v>
      </c>
      <c r="S27" s="11">
        <f t="shared" si="11"/>
        <v>720</v>
      </c>
      <c r="T27" s="11">
        <f t="shared" si="12"/>
        <v>581.14559601056658</v>
      </c>
      <c r="U27" s="12">
        <f t="shared" si="13"/>
        <v>54449.333264049885</v>
      </c>
      <c r="V27" s="12">
        <f t="shared" si="17"/>
        <v>2172.9921396935533</v>
      </c>
      <c r="W27" s="12">
        <f t="shared" si="14"/>
        <v>2700</v>
      </c>
    </row>
    <row r="28" spans="1:23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>
        <v>23</v>
      </c>
      <c r="R28" s="11">
        <f t="shared" si="10"/>
        <v>1377.292184868003</v>
      </c>
      <c r="S28" s="11">
        <f t="shared" si="11"/>
        <v>720</v>
      </c>
      <c r="T28" s="11">
        <f t="shared" si="12"/>
        <v>657.29218486800301</v>
      </c>
      <c r="U28" s="12">
        <f t="shared" si="13"/>
        <v>56651.322653935087</v>
      </c>
      <c r="V28" s="12">
        <f t="shared" si="17"/>
        <v>2201.9893898852024</v>
      </c>
      <c r="W28" s="12">
        <f t="shared" si="14"/>
        <v>2700</v>
      </c>
    </row>
    <row r="29" spans="1:23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>
        <v>24</v>
      </c>
      <c r="R29" s="11">
        <f t="shared" si="10"/>
        <v>1455.1391344474989</v>
      </c>
      <c r="S29" s="11">
        <f t="shared" si="11"/>
        <v>720</v>
      </c>
      <c r="T29" s="11">
        <f t="shared" si="12"/>
        <v>735.13913444749892</v>
      </c>
      <c r="U29" s="12">
        <f t="shared" si="13"/>
        <v>58882.832195244911</v>
      </c>
      <c r="V29" s="12">
        <f t="shared" si="17"/>
        <v>2231.5095413098243</v>
      </c>
      <c r="W29" s="12">
        <f t="shared" si="14"/>
        <v>2700</v>
      </c>
    </row>
    <row r="30" spans="1:23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>
        <v>25</v>
      </c>
      <c r="R30" s="11">
        <f t="shared" si="10"/>
        <v>1534.7170558625965</v>
      </c>
      <c r="S30" s="11">
        <f t="shared" si="11"/>
        <v>720</v>
      </c>
      <c r="T30" s="11">
        <f t="shared" si="12"/>
        <v>814.71705586259645</v>
      </c>
      <c r="U30" s="12">
        <f t="shared" si="13"/>
        <v>61144.393330922801</v>
      </c>
      <c r="V30" s="12">
        <f t="shared" si="17"/>
        <v>2261.56113567789</v>
      </c>
      <c r="W30" s="12">
        <f t="shared" si="14"/>
        <v>2700</v>
      </c>
    </row>
    <row r="31" spans="1:23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>
        <v>26</v>
      </c>
      <c r="R31" s="11">
        <f t="shared" si="10"/>
        <v>1616.0570598233144</v>
      </c>
      <c r="S31" s="11">
        <f t="shared" si="11"/>
        <v>720</v>
      </c>
      <c r="T31" s="11">
        <f t="shared" si="12"/>
        <v>896.05705982331438</v>
      </c>
      <c r="U31" s="12">
        <f t="shared" si="13"/>
        <v>63436.546177462144</v>
      </c>
      <c r="V31" s="12">
        <f t="shared" si="17"/>
        <v>2292.1528465393421</v>
      </c>
      <c r="W31" s="12">
        <f t="shared" si="14"/>
        <v>2700</v>
      </c>
    </row>
    <row r="32" spans="1:23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">
        <v>27</v>
      </c>
      <c r="R32" s="11">
        <f t="shared" si="10"/>
        <v>1699.1907643430709</v>
      </c>
      <c r="S32" s="11">
        <f t="shared" si="11"/>
        <v>720</v>
      </c>
      <c r="T32" s="11">
        <f t="shared" si="12"/>
        <v>979.1907643430709</v>
      </c>
      <c r="U32" s="12">
        <f t="shared" si="13"/>
        <v>65759.839658706987</v>
      </c>
      <c r="V32" s="12">
        <f t="shared" si="17"/>
        <v>2323.2934812448439</v>
      </c>
      <c r="W32" s="12">
        <f t="shared" si="14"/>
        <v>2700</v>
      </c>
    </row>
    <row r="33" spans="1:23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>
        <v>28</v>
      </c>
      <c r="R33" s="11">
        <f t="shared" si="10"/>
        <v>1784.1503025602246</v>
      </c>
      <c r="S33" s="11">
        <f t="shared" si="11"/>
        <v>720</v>
      </c>
      <c r="T33" s="11">
        <f t="shared" si="12"/>
        <v>1064.1503025602246</v>
      </c>
      <c r="U33" s="12">
        <f t="shared" si="13"/>
        <v>68114.831641642741</v>
      </c>
      <c r="V33" s="12">
        <f t="shared" si="17"/>
        <v>2354.9919829357532</v>
      </c>
      <c r="W33" s="12">
        <f t="shared" si="14"/>
        <v>2700</v>
      </c>
    </row>
    <row r="34" spans="1:23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>
        <v>29</v>
      </c>
      <c r="R34" s="11">
        <f t="shared" si="10"/>
        <v>1870.9683306758782</v>
      </c>
      <c r="S34" s="11">
        <f t="shared" si="11"/>
        <v>720</v>
      </c>
      <c r="T34" s="11">
        <f t="shared" si="12"/>
        <v>1150.9683306758782</v>
      </c>
      <c r="U34" s="12">
        <f t="shared" si="13"/>
        <v>70502.089074205214</v>
      </c>
      <c r="V34" s="12">
        <f t="shared" si="17"/>
        <v>2387.2574325624737</v>
      </c>
      <c r="W34" s="12">
        <f t="shared" si="14"/>
        <v>2700</v>
      </c>
    </row>
    <row r="35" spans="1:23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">
        <v>30</v>
      </c>
      <c r="R35" s="11">
        <f t="shared" si="10"/>
        <v>1959.6780360096488</v>
      </c>
      <c r="S35" s="11">
        <f t="shared" si="11"/>
        <v>720</v>
      </c>
      <c r="T35" s="11">
        <f t="shared" si="12"/>
        <v>1239.6780360096488</v>
      </c>
      <c r="U35" s="12">
        <f t="shared" si="13"/>
        <v>72922.188125137734</v>
      </c>
      <c r="V35" s="12">
        <f t="shared" si="17"/>
        <v>2420.0990509325202</v>
      </c>
      <c r="W35" s="12">
        <f t="shared" si="14"/>
        <v>2700</v>
      </c>
    </row>
  </sheetData>
  <mergeCells count="5">
    <mergeCell ref="A1:W1"/>
    <mergeCell ref="A3:G3"/>
    <mergeCell ref="I3:O3"/>
    <mergeCell ref="Q3:W3"/>
    <mergeCell ref="A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showGridLines="0" workbookViewId="0">
      <pane ySplit="3" topLeftCell="A4" activePane="bottomLeft" state="frozen"/>
      <selection pane="bottomLeft" activeCell="C14" sqref="C14"/>
    </sheetView>
  </sheetViews>
  <sheetFormatPr baseColWidth="10" defaultColWidth="8.83203125" defaultRowHeight="14"/>
  <cols>
    <col min="1" max="1" width="28" customWidth="1"/>
    <col min="2" max="2" width="18" customWidth="1"/>
    <col min="3" max="3" width="24" customWidth="1"/>
    <col min="4" max="4" width="20" customWidth="1"/>
    <col min="5" max="5" width="38" customWidth="1"/>
  </cols>
  <sheetData>
    <row r="1" spans="1:5" ht="15" customHeight="1">
      <c r="A1" s="22" t="s">
        <v>90</v>
      </c>
      <c r="B1" s="21"/>
      <c r="C1" s="21"/>
      <c r="D1" s="21"/>
      <c r="E1" s="21"/>
    </row>
    <row r="2" spans="1:5" ht="24" customHeight="1">
      <c r="A2" s="20" t="s">
        <v>91</v>
      </c>
      <c r="B2" s="21"/>
      <c r="C2" s="21"/>
      <c r="D2" s="21"/>
      <c r="E2" s="21"/>
    </row>
    <row r="3" spans="1:5" ht="15" customHeight="1">
      <c r="A3" s="23" t="s">
        <v>92</v>
      </c>
      <c r="B3" s="21"/>
      <c r="C3" s="21"/>
      <c r="D3" s="23" t="s">
        <v>93</v>
      </c>
      <c r="E3" s="21"/>
    </row>
    <row r="4" spans="1:5" ht="24" customHeight="1">
      <c r="A4" s="1" t="s">
        <v>94</v>
      </c>
      <c r="B4" s="1" t="s">
        <v>12</v>
      </c>
      <c r="C4" s="1" t="s">
        <v>95</v>
      </c>
      <c r="D4" s="1" t="s">
        <v>96</v>
      </c>
      <c r="E4" s="1" t="s">
        <v>97</v>
      </c>
    </row>
    <row r="5" spans="1:5" ht="36" customHeight="1">
      <c r="A5" s="3" t="s">
        <v>98</v>
      </c>
      <c r="B5" s="14">
        <v>10</v>
      </c>
      <c r="C5" s="3" t="s">
        <v>99</v>
      </c>
      <c r="D5" s="3" t="s">
        <v>100</v>
      </c>
      <c r="E5" s="3" t="s">
        <v>101</v>
      </c>
    </row>
    <row r="6" spans="1:5" ht="60" customHeight="1">
      <c r="A6" s="3" t="s">
        <v>102</v>
      </c>
      <c r="B6" s="14">
        <v>20</v>
      </c>
      <c r="C6" s="3" t="s">
        <v>103</v>
      </c>
      <c r="D6" s="3" t="s">
        <v>104</v>
      </c>
      <c r="E6" s="3" t="s">
        <v>105</v>
      </c>
    </row>
    <row r="7" spans="1:5" ht="36" customHeight="1">
      <c r="A7" s="3" t="s">
        <v>106</v>
      </c>
      <c r="B7" s="14">
        <v>30</v>
      </c>
      <c r="C7" s="3" t="s">
        <v>107</v>
      </c>
      <c r="D7" s="3" t="s">
        <v>108</v>
      </c>
      <c r="E7" s="3" t="s">
        <v>109</v>
      </c>
    </row>
    <row r="8" spans="1:5" ht="24" customHeight="1">
      <c r="A8" s="2"/>
      <c r="B8" s="2"/>
      <c r="C8" s="2"/>
      <c r="D8" s="3" t="s">
        <v>110</v>
      </c>
      <c r="E8" s="3" t="s">
        <v>111</v>
      </c>
    </row>
    <row r="9" spans="1:5" ht="15" customHeight="1">
      <c r="A9" s="24" t="s">
        <v>112</v>
      </c>
      <c r="B9" s="25"/>
      <c r="C9" s="25"/>
      <c r="D9" s="25"/>
      <c r="E9" s="26"/>
    </row>
    <row r="10" spans="1:5" ht="36" customHeight="1">
      <c r="A10" s="3" t="s">
        <v>113</v>
      </c>
      <c r="B10" s="15">
        <f>TOM_BEDS+CAR_BEDS+MES_BEDS</f>
        <v>60</v>
      </c>
      <c r="C10" s="2"/>
      <c r="D10" s="3" t="s">
        <v>114</v>
      </c>
      <c r="E10" s="3" t="s">
        <v>115</v>
      </c>
    </row>
    <row r="11" spans="1:5" ht="36" customHeight="1">
      <c r="A11" s="3" t="s">
        <v>116</v>
      </c>
      <c r="B11" s="12">
        <f>TOM_BEDS*TOM_PRICE</f>
        <v>88000</v>
      </c>
      <c r="C11" s="2"/>
      <c r="D11" s="3" t="s">
        <v>117</v>
      </c>
      <c r="E11" s="3" t="s">
        <v>118</v>
      </c>
    </row>
    <row r="12" spans="1:5" ht="24" customHeight="1">
      <c r="A12" s="3" t="s">
        <v>119</v>
      </c>
      <c r="B12" s="12">
        <f>CAR_BEDS*CAR_PRICE</f>
        <v>41880</v>
      </c>
      <c r="C12" s="2"/>
      <c r="D12" s="2"/>
      <c r="E12" s="2"/>
    </row>
    <row r="13" spans="1:5" ht="24" customHeight="1">
      <c r="A13" s="3" t="s">
        <v>120</v>
      </c>
      <c r="B13" s="12">
        <f>MES_BEDS*MES_PRICE</f>
        <v>81000</v>
      </c>
      <c r="C13" s="2"/>
      <c r="D13" s="2"/>
      <c r="E13" s="2"/>
    </row>
    <row r="14" spans="1:5" ht="24" customHeight="1">
      <c r="A14" s="3" t="s">
        <v>121</v>
      </c>
      <c r="B14" s="12">
        <f>TOM_REVENUE+CAR_REVENUE+MES_REVENUE</f>
        <v>210880</v>
      </c>
      <c r="C14" s="2"/>
      <c r="D14" s="2"/>
      <c r="E14" s="2"/>
    </row>
    <row r="15" spans="1:5" ht="24" customHeight="1">
      <c r="A15" s="3" t="s">
        <v>46</v>
      </c>
      <c r="B15" s="11">
        <f>TOM_BEDS*TOM_HRS*SEASON_WEEKS*(1+TOM_DIM_PCT)^TOM_BEDS+CAR_BEDS*CAR_HRS*SEASON_WEEKS*(1+CAR_DIM_PCT)^CAR_BEDS+MES_BEDS*MES_HRS*SEASON_WEEKS*(1+MES_DIM_PCT)^MES_BEDS</f>
        <v>5277.2161142345612</v>
      </c>
      <c r="C15" s="2"/>
      <c r="D15" s="2"/>
      <c r="E15" s="2"/>
    </row>
    <row r="16" spans="1:5" ht="24" customHeight="1">
      <c r="A16" s="3" t="s">
        <v>49</v>
      </c>
      <c r="B16" s="11">
        <f>MIN(TOTAL_LABOR_HRS,FARMER_HOURS_AVAILABLE)</f>
        <v>720</v>
      </c>
      <c r="C16" s="2"/>
      <c r="D16" s="2"/>
      <c r="E16" s="2"/>
    </row>
    <row r="17" spans="1:5" ht="24" customHeight="1">
      <c r="A17" s="3" t="s">
        <v>51</v>
      </c>
      <c r="B17" s="11">
        <f>MAX(TOTAL_LABOR_HRS-FARMER_HOURS_AVAILABLE,0)</f>
        <v>4557.2161142345612</v>
      </c>
      <c r="C17" s="2"/>
      <c r="D17" s="2"/>
      <c r="E17" s="2"/>
    </row>
    <row r="18" spans="1:5" ht="36" customHeight="1">
      <c r="A18" s="3" t="s">
        <v>122</v>
      </c>
      <c r="B18" s="11">
        <f>MAX_TEMP_WORKERS*TEMP_HOURS_PER_WORKER</f>
        <v>5760</v>
      </c>
      <c r="C18" s="2"/>
      <c r="D18" s="2"/>
      <c r="E18" s="2"/>
    </row>
    <row r="19" spans="1:5" ht="36" customHeight="1">
      <c r="A19" s="3" t="s">
        <v>53</v>
      </c>
      <c r="B19" s="16">
        <f>TEMP_HOURS_USED/TEMP_HOURS_PER_WORKER</f>
        <v>3.1647334126628897</v>
      </c>
      <c r="C19" s="2"/>
      <c r="D19" s="2"/>
      <c r="E19" s="2"/>
    </row>
    <row r="20" spans="1:5" ht="24" customHeight="1">
      <c r="A20" s="3" t="s">
        <v>56</v>
      </c>
      <c r="B20" s="12">
        <f>FARMER_HOURS_USED*FARMER_HOURLY_RATE</f>
        <v>24999.999999984</v>
      </c>
      <c r="C20" s="2"/>
      <c r="D20" s="2"/>
      <c r="E20" s="2"/>
    </row>
    <row r="21" spans="1:5" ht="24" customHeight="1">
      <c r="A21" s="3" t="s">
        <v>59</v>
      </c>
      <c r="B21" s="12">
        <f>TEMP_HOURS_USED*TEMP_HOURLY_RATE</f>
        <v>79118.33531652161</v>
      </c>
      <c r="C21" s="2"/>
      <c r="D21" s="2"/>
      <c r="E21" s="2"/>
    </row>
    <row r="22" spans="1:5" ht="24" customHeight="1">
      <c r="A22" s="3" t="s">
        <v>61</v>
      </c>
      <c r="B22" s="12">
        <f>FARMER_LABOR_COST+TEMP_LABOR_COST</f>
        <v>104118.3353165056</v>
      </c>
      <c r="C22" s="2"/>
      <c r="D22" s="2"/>
      <c r="E22" s="2"/>
    </row>
    <row r="23" spans="1:5" ht="24" customHeight="1">
      <c r="A23" s="3" t="s">
        <v>63</v>
      </c>
      <c r="B23" s="13">
        <f>IF(TOTAL_LABOR_HRS=0,0,TOTAL_LABOR_COST/TOTAL_LABOR_HRS)</f>
        <v>19.729784239015867</v>
      </c>
      <c r="C23" s="2"/>
      <c r="D23" s="2"/>
      <c r="E23" s="2"/>
    </row>
    <row r="24" spans="1:5" ht="36" customHeight="1">
      <c r="A24" s="3" t="s">
        <v>70</v>
      </c>
      <c r="B24" s="12">
        <f>TOM_BEDS*TOM_FERT_COST+CAR_BEDS*CAR_FERT_COST+MES_BEDS*MES_FERT_COST</f>
        <v>44000</v>
      </c>
      <c r="C24" s="2"/>
      <c r="D24" s="2"/>
      <c r="E24" s="2"/>
    </row>
    <row r="25" spans="1:5" ht="36" customHeight="1">
      <c r="A25" s="3" t="s">
        <v>72</v>
      </c>
      <c r="B25" s="12">
        <f>TOTAL_LABOR_COST+TOTAL_FERT_COST</f>
        <v>148118.3353165056</v>
      </c>
      <c r="C25" s="2"/>
      <c r="D25" s="2"/>
      <c r="E25" s="2"/>
    </row>
    <row r="26" spans="1:5" ht="15" customHeight="1">
      <c r="A26" s="3" t="s">
        <v>74</v>
      </c>
      <c r="B26" s="12">
        <f>FIXED_COSTS</f>
        <v>20000</v>
      </c>
      <c r="C26" s="2"/>
      <c r="D26" s="2"/>
      <c r="E26" s="2"/>
    </row>
    <row r="27" spans="1:5" ht="15" customHeight="1">
      <c r="A27" s="3" t="s">
        <v>76</v>
      </c>
      <c r="B27" s="12">
        <f>TOTAL_VARIABLE_COST+FIXED_COSTS</f>
        <v>168118.3353165056</v>
      </c>
      <c r="C27" s="2"/>
      <c r="D27" s="2"/>
      <c r="E27" s="2"/>
    </row>
    <row r="28" spans="1:5" ht="36" customHeight="1">
      <c r="A28" s="3" t="s">
        <v>123</v>
      </c>
      <c r="B28" s="12">
        <f>TOTAL_REVENUE-TOTAL_COST</f>
        <v>42761.664683494397</v>
      </c>
      <c r="C28" s="2"/>
      <c r="D28" s="2"/>
      <c r="E28" s="2"/>
    </row>
  </sheetData>
  <mergeCells count="5">
    <mergeCell ref="A2:E2"/>
    <mergeCell ref="A1:E1"/>
    <mergeCell ref="A3:C3"/>
    <mergeCell ref="D3:E3"/>
    <mergeCell ref="A9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showGridLines="0" tabSelected="1" workbookViewId="0">
      <pane ySplit="3" topLeftCell="A10" activePane="bottomLeft" state="frozen"/>
      <selection pane="bottomLeft" activeCell="B16" sqref="B16"/>
    </sheetView>
  </sheetViews>
  <sheetFormatPr baseColWidth="10" defaultColWidth="8.83203125" defaultRowHeight="14"/>
  <cols>
    <col min="1" max="1" width="30" customWidth="1"/>
    <col min="2" max="3" width="18" customWidth="1"/>
    <col min="4" max="4" width="30" customWidth="1"/>
    <col min="5" max="5" width="15" customWidth="1"/>
    <col min="6" max="6" width="34" customWidth="1"/>
    <col min="7" max="7" width="24" customWidth="1"/>
  </cols>
  <sheetData>
    <row r="1" spans="1:7" ht="15" customHeight="1">
      <c r="A1" s="22" t="s">
        <v>124</v>
      </c>
      <c r="B1" s="21"/>
      <c r="C1" s="21"/>
      <c r="D1" s="21"/>
      <c r="E1" s="21"/>
      <c r="F1" s="21"/>
      <c r="G1" s="2"/>
    </row>
    <row r="2" spans="1:7" ht="24" customHeight="1">
      <c r="A2" s="20" t="s">
        <v>125</v>
      </c>
      <c r="B2" s="21"/>
      <c r="C2" s="21"/>
      <c r="D2" s="21"/>
      <c r="E2" s="21"/>
      <c r="F2" s="21"/>
      <c r="G2" s="2"/>
    </row>
    <row r="3" spans="1:7" ht="24" customHeight="1">
      <c r="A3" s="1" t="s">
        <v>126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  <c r="G3" s="2"/>
    </row>
    <row r="4" spans="1:7" ht="60" customHeight="1">
      <c r="A4" s="3" t="s">
        <v>132</v>
      </c>
      <c r="B4" s="11">
        <f>1*TOM_HRS*SEASON_WEEKS*(1+TOM_DIM_PCT)^1</f>
        <v>99.000000000000014</v>
      </c>
      <c r="C4" s="3">
        <v>99</v>
      </c>
      <c r="D4" s="3" t="s">
        <v>133</v>
      </c>
      <c r="E4" s="15" t="str">
        <f>IF(ABS(B4-C4)&lt;=0.01,"PASS","FAIL")</f>
        <v>PASS</v>
      </c>
      <c r="F4" s="3" t="s">
        <v>134</v>
      </c>
      <c r="G4" s="2"/>
    </row>
    <row r="5" spans="1:7" ht="36" customHeight="1">
      <c r="A5" s="3" t="s">
        <v>135</v>
      </c>
      <c r="B5" s="15">
        <f>TOM_BEDS</f>
        <v>10</v>
      </c>
      <c r="C5" s="3">
        <v>10</v>
      </c>
      <c r="D5" s="3" t="s">
        <v>136</v>
      </c>
      <c r="E5" s="15" t="str">
        <f>IF(B5=C5,"PASS","FAIL")</f>
        <v>PASS</v>
      </c>
      <c r="F5" s="3" t="s">
        <v>137</v>
      </c>
      <c r="G5" s="2"/>
    </row>
    <row r="6" spans="1:7" ht="36" customHeight="1">
      <c r="A6" s="3" t="s">
        <v>138</v>
      </c>
      <c r="B6" s="15">
        <f>CAR_BEDS</f>
        <v>20</v>
      </c>
      <c r="C6" s="3">
        <v>20</v>
      </c>
      <c r="D6" s="3" t="s">
        <v>136</v>
      </c>
      <c r="E6" s="15" t="str">
        <f>IF(B6=C6,"PASS","FAIL")</f>
        <v>PASS</v>
      </c>
      <c r="F6" s="3" t="s">
        <v>137</v>
      </c>
      <c r="G6" s="2"/>
    </row>
    <row r="7" spans="1:7" ht="36" customHeight="1">
      <c r="A7" s="3" t="s">
        <v>139</v>
      </c>
      <c r="B7" s="15">
        <f>MES_BEDS</f>
        <v>30</v>
      </c>
      <c r="C7" s="3">
        <v>30</v>
      </c>
      <c r="D7" s="3" t="s">
        <v>136</v>
      </c>
      <c r="E7" s="15" t="str">
        <f>IF(B7=C7,"PASS","FAIL")</f>
        <v>PASS</v>
      </c>
      <c r="F7" s="3" t="s">
        <v>137</v>
      </c>
      <c r="G7" s="2"/>
    </row>
    <row r="8" spans="1:7" ht="36" customHeight="1">
      <c r="A8" s="3" t="s">
        <v>140</v>
      </c>
      <c r="B8" s="15">
        <f>TOTAL_BEDS_USED</f>
        <v>60</v>
      </c>
      <c r="C8" s="3">
        <v>60</v>
      </c>
      <c r="D8" s="3" t="s">
        <v>136</v>
      </c>
      <c r="E8" s="15" t="str">
        <f>IF(B8=C8,"PASS","FAIL")</f>
        <v>PASS</v>
      </c>
      <c r="F8" s="3" t="s">
        <v>141</v>
      </c>
      <c r="G8" s="2"/>
    </row>
    <row r="9" spans="1:7" ht="36" customHeight="1">
      <c r="A9" s="3" t="s">
        <v>142</v>
      </c>
      <c r="B9" s="12">
        <f>TOTAL_PROFIT</f>
        <v>42761.664683494397</v>
      </c>
      <c r="C9" s="17">
        <v>42762</v>
      </c>
      <c r="D9" s="3" t="s">
        <v>143</v>
      </c>
      <c r="E9" s="15" t="str">
        <f>IF(ROUND(B9,0)=C9,"PASS","FAIL")</f>
        <v>PASS</v>
      </c>
      <c r="F9" s="3" t="s">
        <v>144</v>
      </c>
      <c r="G9" s="2"/>
    </row>
    <row r="10" spans="1:7" ht="48" customHeight="1">
      <c r="A10" s="3" t="s">
        <v>145</v>
      </c>
      <c r="B10" s="15">
        <f>10</f>
        <v>10</v>
      </c>
      <c r="C10" s="3">
        <v>10</v>
      </c>
      <c r="D10" s="3" t="s">
        <v>146</v>
      </c>
      <c r="E10" s="15" t="str">
        <f>IF(AND('Marginal-Cost Schedules'!F15&lt;=TOM_PRICE,'Marginal-Cost Schedules'!F16&gt;TOM_PRICE),"PASS","FAIL")</f>
        <v>PASS</v>
      </c>
      <c r="F10" s="3" t="s">
        <v>147</v>
      </c>
      <c r="G10" s="2"/>
    </row>
    <row r="11" spans="1:7" ht="48" customHeight="1">
      <c r="A11" s="3" t="s">
        <v>148</v>
      </c>
      <c r="B11" s="15">
        <f>10</f>
        <v>10</v>
      </c>
      <c r="C11" s="3">
        <v>10</v>
      </c>
      <c r="D11" s="3" t="s">
        <v>146</v>
      </c>
      <c r="E11" s="15" t="str">
        <f>IF(AND('Marginal-Cost Schedules'!N15&lt;=CAR_PRICE,'Marginal-Cost Schedules'!N16&gt;CAR_PRICE),"PASS","FAIL")</f>
        <v>PASS</v>
      </c>
      <c r="F11" s="3" t="s">
        <v>147</v>
      </c>
      <c r="G11" s="2"/>
    </row>
    <row r="12" spans="1:7" ht="48" customHeight="1">
      <c r="A12" s="3" t="s">
        <v>149</v>
      </c>
      <c r="B12" s="15">
        <f>6</f>
        <v>6</v>
      </c>
      <c r="C12" s="3">
        <v>6</v>
      </c>
      <c r="D12" s="3" t="s">
        <v>146</v>
      </c>
      <c r="E12" s="15" t="str">
        <f>IF(AND('Marginal-Cost Schedules'!V11&lt;=MES_PRICE,'Marginal-Cost Schedules'!V12&gt;MES_PRICE),"PASS","FAIL")</f>
        <v>PASS</v>
      </c>
      <c r="F12" s="3" t="s">
        <v>147</v>
      </c>
      <c r="G12" s="2"/>
    </row>
    <row r="13" spans="1:7" ht="36" customHeight="1">
      <c r="A13" s="3" t="s">
        <v>150</v>
      </c>
      <c r="B13" s="12">
        <f>TOM_MC_6</f>
        <v>4906.2749999974294</v>
      </c>
      <c r="C13" s="17">
        <v>4906</v>
      </c>
      <c r="D13" s="3" t="s">
        <v>151</v>
      </c>
      <c r="E13" s="15" t="str">
        <f>IF(ABS(ROUND(B13,0)-C13)&lt;=1,"PASS","FAIL")</f>
        <v>PASS</v>
      </c>
      <c r="F13" s="3" t="s">
        <v>152</v>
      </c>
      <c r="G13" s="2"/>
    </row>
    <row r="14" spans="1:7" ht="36" customHeight="1">
      <c r="A14" s="3" t="s">
        <v>153</v>
      </c>
      <c r="B14" s="12">
        <f>TOM_MC_6</f>
        <v>4906.2749999974294</v>
      </c>
      <c r="C14" s="3" t="s">
        <v>154</v>
      </c>
      <c r="D14" s="3" t="s">
        <v>155</v>
      </c>
      <c r="E14" s="15" t="str">
        <f>IF(TOM_MC_6&lt;TOM_MC_5,"FLAGGED","NOT FLAGGED")</f>
        <v>FLAGGED</v>
      </c>
      <c r="F14" s="3" t="s">
        <v>156</v>
      </c>
      <c r="G14" s="2"/>
    </row>
    <row r="15" spans="1:7" ht="72" customHeight="1">
      <c r="A15" s="3" t="s">
        <v>157</v>
      </c>
      <c r="B15" s="18">
        <f>TOTAL_BEDS_USED</f>
        <v>60</v>
      </c>
      <c r="C15" s="3" t="s">
        <v>158</v>
      </c>
      <c r="D15" s="3" t="s">
        <v>159</v>
      </c>
      <c r="E15" s="15" t="str">
        <f>IF(TOTAL_BEDS_USED&lt;=TOTAL_BEDS_AVAILABLE,"PASS","FAIL")</f>
        <v>PASS</v>
      </c>
      <c r="F15" s="3" t="s">
        <v>160</v>
      </c>
      <c r="G15" s="2"/>
    </row>
    <row r="16" spans="1:7" ht="48" customHeight="1">
      <c r="A16" s="3" t="s">
        <v>161</v>
      </c>
      <c r="B16" s="18">
        <f>TOM_BEDS</f>
        <v>10</v>
      </c>
      <c r="C16" s="3" t="s">
        <v>162</v>
      </c>
      <c r="D16" s="3" t="s">
        <v>163</v>
      </c>
      <c r="E16" s="15" t="str">
        <f>IF(TOM_BEDS&lt;=TOM_BED_CAP,"PASS","FAIL")</f>
        <v>PASS</v>
      </c>
      <c r="F16" s="3" t="s">
        <v>164</v>
      </c>
      <c r="G16" s="2"/>
    </row>
    <row r="17" spans="1:7" ht="48" customHeight="1">
      <c r="A17" s="3" t="s">
        <v>165</v>
      </c>
      <c r="B17" s="18">
        <f>CAR_BEDS</f>
        <v>20</v>
      </c>
      <c r="C17" s="3" t="s">
        <v>162</v>
      </c>
      <c r="D17" s="3" t="s">
        <v>166</v>
      </c>
      <c r="E17" s="15" t="str">
        <f>IF(CAR_BEDS&lt;=CAR_BED_CAP,"PASS","FAIL")</f>
        <v>PASS</v>
      </c>
      <c r="F17" s="3" t="s">
        <v>164</v>
      </c>
      <c r="G17" s="2"/>
    </row>
    <row r="18" spans="1:7" ht="48" customHeight="1">
      <c r="A18" s="3" t="s">
        <v>167</v>
      </c>
      <c r="B18" s="18">
        <f>MES_BEDS</f>
        <v>30</v>
      </c>
      <c r="C18" s="3" t="s">
        <v>168</v>
      </c>
      <c r="D18" s="3" t="s">
        <v>169</v>
      </c>
      <c r="E18" s="15" t="str">
        <f>IF(MES_BEDS&lt;=MES_BED_CAP,"PASS","FAIL")</f>
        <v>PASS</v>
      </c>
      <c r="F18" s="3" t="s">
        <v>164</v>
      </c>
      <c r="G18" s="2"/>
    </row>
    <row r="19" spans="1:7" ht="72" customHeight="1">
      <c r="A19" s="3" t="s">
        <v>170</v>
      </c>
      <c r="B19" s="16">
        <f>TEMP_WORKERS_NEEDED</f>
        <v>3.1647334126628897</v>
      </c>
      <c r="C19" s="3" t="s">
        <v>171</v>
      </c>
      <c r="D19" s="3" t="s">
        <v>172</v>
      </c>
      <c r="E19" s="15" t="str">
        <f>IF(TEMP_WORKERS_NEEDED&lt;=MAX_TEMP_WORKERS,"PASS","FAIL")</f>
        <v>PASS</v>
      </c>
      <c r="F19" s="3" t="s">
        <v>173</v>
      </c>
      <c r="G19" s="2"/>
    </row>
    <row r="20" spans="1:7" ht="24" customHeight="1">
      <c r="A20" s="3" t="s">
        <v>174</v>
      </c>
      <c r="B20" s="18">
        <f>MIN(TOM_BEDS,CAR_BEDS,MES_BEDS)</f>
        <v>10</v>
      </c>
      <c r="C20" s="3" t="s">
        <v>175</v>
      </c>
      <c r="D20" s="3" t="s">
        <v>176</v>
      </c>
      <c r="E20" s="15" t="str">
        <f>IF(B20&gt;=0,"PASS","FAIL")</f>
        <v>PASS</v>
      </c>
      <c r="F20" s="3" t="s">
        <v>177</v>
      </c>
      <c r="G20" s="2"/>
    </row>
    <row r="21" spans="1:7" ht="24" customHeight="1">
      <c r="A21" s="3" t="s">
        <v>178</v>
      </c>
      <c r="B21" s="18">
        <f>MAX(ABS(TOM_BEDS-ROUND(TOM_BEDS,0)),ABS(CAR_BEDS-ROUND(CAR_BEDS,0)),ABS(MES_BEDS-ROUND(MES_BEDS,0)))</f>
        <v>0</v>
      </c>
      <c r="C21" s="3" t="s">
        <v>179</v>
      </c>
      <c r="D21" s="3" t="s">
        <v>176</v>
      </c>
      <c r="E21" s="15" t="str">
        <f>IF(B21=0,"PASS","FAIL")</f>
        <v>PASS</v>
      </c>
      <c r="F21" s="3" t="s">
        <v>177</v>
      </c>
      <c r="G21" s="2"/>
    </row>
    <row r="22" spans="1:7" ht="48" customHeight="1">
      <c r="A22" s="3" t="s">
        <v>180</v>
      </c>
      <c r="B22" s="18" cm="1">
        <f t="array" ref="B22">SUMPRODUCT(--ISERROR('Cost Structure'!B4:B18))+SUMPRODUCT(--ISERROR('Marginal-Cost Schedules'!B5:W35))+SUMPRODUCT(--ISERROR(Optimization!B10:B28))</f>
        <v>0</v>
      </c>
      <c r="C22" s="3" t="s">
        <v>181</v>
      </c>
      <c r="D22" s="3" t="s">
        <v>182</v>
      </c>
      <c r="E22" s="15" t="str">
        <f>IF(B22=0,"PASS","FAIL")</f>
        <v>PASS</v>
      </c>
      <c r="F22" s="3" t="s">
        <v>183</v>
      </c>
      <c r="G22" s="2"/>
    </row>
    <row r="23" spans="1:7" ht="15" customHeight="1">
      <c r="A23" s="2"/>
      <c r="B23" s="2"/>
      <c r="C23" s="2"/>
      <c r="D23" s="2"/>
      <c r="E23" s="2"/>
      <c r="F23" s="2"/>
      <c r="G23" s="2"/>
    </row>
    <row r="24" spans="1:7" ht="15" customHeight="1">
      <c r="A24" s="2"/>
      <c r="B24" s="2"/>
      <c r="C24" s="2"/>
      <c r="D24" s="2"/>
      <c r="E24" s="2"/>
      <c r="F24" s="2"/>
      <c r="G24" s="2"/>
    </row>
    <row r="25" spans="1:7" ht="24" customHeight="1">
      <c r="A25" s="1" t="s">
        <v>184</v>
      </c>
      <c r="B25" s="1" t="s">
        <v>185</v>
      </c>
      <c r="C25" s="1" t="s">
        <v>186</v>
      </c>
      <c r="D25" s="1" t="s">
        <v>187</v>
      </c>
      <c r="E25" s="1" t="s">
        <v>188</v>
      </c>
      <c r="F25" s="1" t="s">
        <v>189</v>
      </c>
      <c r="G25" s="1" t="s">
        <v>190</v>
      </c>
    </row>
    <row r="26" spans="1:7" ht="36" customHeight="1">
      <c r="A26" s="3" t="s">
        <v>191</v>
      </c>
      <c r="B26" s="14">
        <v>10</v>
      </c>
      <c r="C26" s="14">
        <v>20</v>
      </c>
      <c r="D26" s="14">
        <v>30</v>
      </c>
      <c r="E26" s="14">
        <v>60</v>
      </c>
      <c r="F26" s="19">
        <v>42762</v>
      </c>
      <c r="G26" s="14" t="s">
        <v>197</v>
      </c>
    </row>
    <row r="27" spans="1:7" ht="36" customHeight="1">
      <c r="A27" s="3" t="s">
        <v>192</v>
      </c>
      <c r="B27" s="14">
        <v>10</v>
      </c>
      <c r="C27" s="14">
        <v>20</v>
      </c>
      <c r="D27" s="14">
        <v>30</v>
      </c>
      <c r="E27" s="14">
        <v>60</v>
      </c>
      <c r="F27" s="19">
        <v>42762</v>
      </c>
      <c r="G27" s="14" t="s">
        <v>197</v>
      </c>
    </row>
    <row r="28" spans="1:7" ht="15" customHeight="1">
      <c r="A28" s="2"/>
      <c r="B28" s="2"/>
      <c r="C28" s="2"/>
      <c r="D28" s="2"/>
      <c r="E28" s="2"/>
      <c r="F28" s="2"/>
      <c r="G28" s="2"/>
    </row>
    <row r="29" spans="1:7" ht="24" customHeight="1">
      <c r="A29" s="1" t="s">
        <v>193</v>
      </c>
      <c r="B29" s="1" t="s">
        <v>194</v>
      </c>
      <c r="C29" s="1" t="s">
        <v>195</v>
      </c>
      <c r="D29" s="2"/>
      <c r="E29" s="2"/>
      <c r="F29" s="2"/>
      <c r="G29" s="2"/>
    </row>
    <row r="30" spans="1:7" ht="36" customHeight="1">
      <c r="A30" s="3" t="s">
        <v>196</v>
      </c>
      <c r="B30" s="17">
        <f>TOM_MC_5</f>
        <v>7660.8593749956599</v>
      </c>
      <c r="C30" s="17">
        <f>TOM_MC_6</f>
        <v>4906.2749999974294</v>
      </c>
      <c r="D30" s="2"/>
      <c r="E30" s="2"/>
      <c r="F30" s="2"/>
      <c r="G30" s="2"/>
    </row>
  </sheetData>
  <mergeCells count="2">
    <mergeCell ref="A2:F2"/>
    <mergeCell ref="A1:F1"/>
  </mergeCells>
  <conditionalFormatting sqref="E4:E22">
    <cfRule type="expression" dxfId="2" priority="1">
      <formula>$E4="PASS"</formula>
    </cfRule>
    <cfRule type="expression" dxfId="1" priority="2">
      <formula>$E4="FAIL"</formula>
    </cfRule>
  </conditionalFormatting>
  <conditionalFormatting sqref="E14">
    <cfRule type="expression" dxfId="0" priority="3">
      <formula>$E14="FLAGGED"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50</vt:i4>
      </vt:variant>
    </vt:vector>
  </HeadingPairs>
  <TitlesOfParts>
    <vt:vector size="55" baseType="lpstr">
      <vt:lpstr>Inputs</vt:lpstr>
      <vt:lpstr>Cost Structure</vt:lpstr>
      <vt:lpstr>Marginal-Cost Schedules</vt:lpstr>
      <vt:lpstr>Optimization</vt:lpstr>
      <vt:lpstr>Checks</vt:lpstr>
      <vt:lpstr>BLENDED_LABOR_RATE</vt:lpstr>
      <vt:lpstr>CAR_BED_CAP</vt:lpstr>
      <vt:lpstr>CAR_BEDS</vt:lpstr>
      <vt:lpstr>CAR_DIM_PCT</vt:lpstr>
      <vt:lpstr>CAR_FERT_COST</vt:lpstr>
      <vt:lpstr>CAR_HRS</vt:lpstr>
      <vt:lpstr>CAR_LABOR_COST</vt:lpstr>
      <vt:lpstr>CAR_PRICE</vt:lpstr>
      <vt:lpstr>CAR_REVENUE</vt:lpstr>
      <vt:lpstr>FARMER_HOURLY_RATE</vt:lpstr>
      <vt:lpstr>FARMER_HOURS_AVAILABLE</vt:lpstr>
      <vt:lpstr>FARMER_HOURS_USED</vt:lpstr>
      <vt:lpstr>FARMER_LABOR_COST</vt:lpstr>
      <vt:lpstr>FIXED_COST_DISPLAY</vt:lpstr>
      <vt:lpstr>FIXED_COSTS</vt:lpstr>
      <vt:lpstr>MAX_TEMP_HOURS</vt:lpstr>
      <vt:lpstr>MAX_TEMP_WORKERS</vt:lpstr>
      <vt:lpstr>MES_BED_CAP</vt:lpstr>
      <vt:lpstr>MES_BEDS</vt:lpstr>
      <vt:lpstr>MES_DIM_PCT</vt:lpstr>
      <vt:lpstr>MES_FERT_COST</vt:lpstr>
      <vt:lpstr>MES_HRS</vt:lpstr>
      <vt:lpstr>MES_LABOR_COST</vt:lpstr>
      <vt:lpstr>MES_PRICE</vt:lpstr>
      <vt:lpstr>MES_REVENUE</vt:lpstr>
      <vt:lpstr>SEASON_WEEKS</vt:lpstr>
      <vt:lpstr>TEMP_HOURLY_RATE</vt:lpstr>
      <vt:lpstr>TEMP_HOURS_PER_WORKER</vt:lpstr>
      <vt:lpstr>TEMP_HOURS_USED</vt:lpstr>
      <vt:lpstr>TEMP_LABOR_COST</vt:lpstr>
      <vt:lpstr>TEMP_WORKERS_NEEDED</vt:lpstr>
      <vt:lpstr>TOM_BED_CAP</vt:lpstr>
      <vt:lpstr>TOM_BEDS</vt:lpstr>
      <vt:lpstr>TOM_DIM_PCT</vt:lpstr>
      <vt:lpstr>TOM_FERT_COST</vt:lpstr>
      <vt:lpstr>TOM_HRS</vt:lpstr>
      <vt:lpstr>TOM_LABOR_COST</vt:lpstr>
      <vt:lpstr>TOM_MC_5</vt:lpstr>
      <vt:lpstr>TOM_MC_6</vt:lpstr>
      <vt:lpstr>TOM_PRICE</vt:lpstr>
      <vt:lpstr>TOM_REVENUE</vt:lpstr>
      <vt:lpstr>TOTAL_BEDS_AVAILABLE</vt:lpstr>
      <vt:lpstr>TOTAL_BEDS_USED</vt:lpstr>
      <vt:lpstr>TOTAL_COST</vt:lpstr>
      <vt:lpstr>TOTAL_FERT_COST</vt:lpstr>
      <vt:lpstr>TOTAL_LABOR_COST</vt:lpstr>
      <vt:lpstr>TOTAL_LABOR_HRS</vt:lpstr>
      <vt:lpstr>TOTAL_PROFIT</vt:lpstr>
      <vt:lpstr>TOTAL_REVENUE</vt:lpstr>
      <vt:lpstr>TOTAL_VARIABLE_COST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Lozano</cp:lastModifiedBy>
  <dcterms:created xsi:type="dcterms:W3CDTF">2026-09-06T06:18:21Z</dcterms:created>
  <dcterms:modified xsi:type="dcterms:W3CDTF">2026-09-11T07:04:30Z</dcterms:modified>
</cp:coreProperties>
</file>